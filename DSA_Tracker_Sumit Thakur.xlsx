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First" sheetId="1" r:id="rId4"/>
    <sheet state="hidden" name="_meta_data" sheetId="2" r:id="rId5"/>
    <sheet state="visible" name="Roadmap_250" sheetId="3" r:id="rId6"/>
    <sheet state="visible" name="Tracker_Dashboard" sheetId="4" r:id="rId7"/>
    <sheet state="visible" name="Solutions_Python" sheetId="5" r:id="rId8"/>
    <sheet state="visible" name="Solutions_Java" sheetId="6" r:id="rId9"/>
    <sheet state="visible" name="Solutions_CPP" sheetId="7" r:id="rId10"/>
  </sheets>
  <definedNames/>
  <calcPr/>
  <extLst>
    <ext uri="GoogleSheetsCustomDataVersion2">
      <go:sheetsCustomData xmlns:go="http://customooxmlschemas.google.com/" r:id="rId11" roundtripDataChecksum="85WI7kJqKIGzLnhvrfh5wQVbAJCSKSeVQ2FNlDC9UUo="/>
    </ext>
  </extLst>
</workbook>
</file>

<file path=xl/sharedStrings.xml><?xml version="1.0" encoding="utf-8"?>
<sst xmlns="http://schemas.openxmlformats.org/spreadsheetml/2006/main" count="3570" uniqueCount="354">
  <si>
    <t>Tier-3 Turbo DSA 250 – Placement-Focused Tracker</t>
  </si>
  <si>
    <t>⚠️ Licensed to: Sumit Thakur
📧 Email: sumitthaku799@gmail.com
🆔 License ID: DSA-2375</t>
  </si>
  <si>
    <t>Who is this for?</t>
  </si>
  <si>
    <t>- 1st to 3rd year students from tier-2/3 colleges targeting product/service-based companies.</t>
  </si>
  <si>
    <t>How to use this effectively in 60-90 days?</t>
  </si>
  <si>
    <t>1. Pick 3-5 problems per day from the current topic.</t>
  </si>
  <si>
    <t>2. Attempt without help. Log mistakes in Error Notes.</t>
  </si>
  <si>
    <t>3. Revise only starred problems (⭐ Repeat / 🔥 Must Revise) every weekend.</t>
  </si>
  <si>
    <t>💡 Promise:</t>
  </si>
  <si>
    <t>"Stop getting lost in 1000+ random LeetCode problems. Follow this 250-question path and actually finish your prep."</t>
  </si>
  <si>
    <t>"Designed for average coders from non-IIT colleges who want above-average offers."</t>
  </si>
  <si>
    <t>Note:</t>
  </si>
  <si>
    <t>⚠️  Unauthorized sharing will revoke access</t>
  </si>
  <si>
    <t>⚠️  Access logs are monitored periodically</t>
  </si>
  <si>
    <t>⚠️This tracker is licensed</t>
  </si>
  <si>
    <t>Name</t>
  </si>
  <si>
    <t>Email</t>
  </si>
  <si>
    <t>License ID</t>
  </si>
  <si>
    <t>Date</t>
  </si>
  <si>
    <t>S.No</t>
  </si>
  <si>
    <t>Topic</t>
  </si>
  <si>
    <t>Subtopic / Pattern</t>
  </si>
  <si>
    <t>Problem Name</t>
  </si>
  <si>
    <t>Platform</t>
  </si>
  <si>
    <t>Difficulty</t>
  </si>
  <si>
    <t>Status 1</t>
  </si>
  <si>
    <t>Status 2</t>
  </si>
  <si>
    <t>Status 3</t>
  </si>
  <si>
    <t>Mistake Tag</t>
  </si>
  <si>
    <t>Error Notes</t>
  </si>
  <si>
    <t>Concept Notes / Trick</t>
  </si>
  <si>
    <t>Resource Link</t>
  </si>
  <si>
    <t>Solution – Python</t>
  </si>
  <si>
    <t>Solution – Java</t>
  </si>
  <si>
    <t>Solution – C++</t>
  </si>
  <si>
    <t>Last Reviewed On</t>
  </si>
  <si>
    <t>Confidence Level</t>
  </si>
  <si>
    <t>Basics &amp; Math</t>
  </si>
  <si>
    <t>Basics</t>
  </si>
  <si>
    <t>Fizz Buzz</t>
  </si>
  <si>
    <t>LeetCode</t>
  </si>
  <si>
    <t>Easy</t>
  </si>
  <si>
    <t>✅ Done</t>
  </si>
  <si>
    <t>⏳ Not started</t>
  </si>
  <si>
    <t>Count Primes</t>
  </si>
  <si>
    <t>Power of Two</t>
  </si>
  <si>
    <t>Medium</t>
  </si>
  <si>
    <t>Reverse Integer</t>
  </si>
  <si>
    <t>Palindrome Number</t>
  </si>
  <si>
    <t>Roman to Integer</t>
  </si>
  <si>
    <t>Integer to Roman</t>
  </si>
  <si>
    <t>Valid Perfect Square</t>
  </si>
  <si>
    <t>Sqrtx</t>
  </si>
  <si>
    <t>Subtract the Product And Sum of Digits of an Integer</t>
  </si>
  <si>
    <t>Base 7</t>
  </si>
  <si>
    <t>Convert a Number to Hexadecimal</t>
  </si>
  <si>
    <t>Add Digits</t>
  </si>
  <si>
    <t>Happy Number</t>
  </si>
  <si>
    <t>Missing Number</t>
  </si>
  <si>
    <t>Arrays 1D &amp; 2D</t>
  </si>
  <si>
    <t>Arrays 1D</t>
  </si>
  <si>
    <t>Two Sum</t>
  </si>
  <si>
    <t>Best Time to Buy And Sell Stock</t>
  </si>
  <si>
    <t>Contains Duplicate</t>
  </si>
  <si>
    <t>Product of Array Except Self</t>
  </si>
  <si>
    <t>Maximum Subarray</t>
  </si>
  <si>
    <t>Maximum Product Subarray</t>
  </si>
  <si>
    <t>Find Minimum in Rotated Sorted Array</t>
  </si>
  <si>
    <t>Search in Rotated Sorted Array</t>
  </si>
  <si>
    <t>3sum</t>
  </si>
  <si>
    <t>Container With Most Water</t>
  </si>
  <si>
    <t>Move Zeroes</t>
  </si>
  <si>
    <t>Remove Duplicates From Sorted Array</t>
  </si>
  <si>
    <t>Plus One</t>
  </si>
  <si>
    <t>Intersection of Two Arrays II</t>
  </si>
  <si>
    <t>Merge Sorted Array</t>
  </si>
  <si>
    <t>Pascals Triangle</t>
  </si>
  <si>
    <t>Majority Element</t>
  </si>
  <si>
    <t>Find All Numbers Disappeared in an Array</t>
  </si>
  <si>
    <t>Squares of a Sorted Array</t>
  </si>
  <si>
    <t>Sort Array By Parity</t>
  </si>
  <si>
    <t>Third Maximum Number</t>
  </si>
  <si>
    <t>Final Value of Variable After Performing Operations</t>
  </si>
  <si>
    <t>Build Array From Permutation</t>
  </si>
  <si>
    <t>Concatenation of Array</t>
  </si>
  <si>
    <t>Running Sum of 1D Array</t>
  </si>
  <si>
    <t>Set Matrix Zeroes</t>
  </si>
  <si>
    <t>Spiral Matrix</t>
  </si>
  <si>
    <t>Rotate Image</t>
  </si>
  <si>
    <t>Search a 2D Matrix</t>
  </si>
  <si>
    <t>Search a 2D Matrix II</t>
  </si>
  <si>
    <t>Valid Sudoku</t>
  </si>
  <si>
    <t>Matrix Diagonal Sum</t>
  </si>
  <si>
    <t>Count Negative Numbers in a Sorted Matrix</t>
  </si>
  <si>
    <t>Lucky Numbers in a Matrix</t>
  </si>
  <si>
    <t>Reshape the Matrix</t>
  </si>
  <si>
    <t>Toeplitz Matrix</t>
  </si>
  <si>
    <t>Transpose Matrix</t>
  </si>
  <si>
    <t>Shift 2D Grid</t>
  </si>
  <si>
    <t>Diagonal Traverse</t>
  </si>
  <si>
    <t>Spiral Matrix II</t>
  </si>
  <si>
    <t>Strings</t>
  </si>
  <si>
    <t>Valid Palindrome</t>
  </si>
  <si>
    <t>Valid Anagram</t>
  </si>
  <si>
    <t>Valid Parentheses</t>
  </si>
  <si>
    <t>Longest Palindromic Substring</t>
  </si>
  <si>
    <t>Longest Substring Without Repeating Characters</t>
  </si>
  <si>
    <t>Longest Common Prefix</t>
  </si>
  <si>
    <t>Group Anagrams</t>
  </si>
  <si>
    <t>Longest Repeating Character Replacement</t>
  </si>
  <si>
    <t>Minimum Window Substring</t>
  </si>
  <si>
    <t>Encode And Decode Tinyurl</t>
  </si>
  <si>
    <t>Reverse String</t>
  </si>
  <si>
    <t>Reverse Vowels of a String</t>
  </si>
  <si>
    <t>Is Subsequence</t>
  </si>
  <si>
    <t>Find the Index of the First Occurrence in a String</t>
  </si>
  <si>
    <t>Length of Last Word</t>
  </si>
  <si>
    <t>Add Binary</t>
  </si>
  <si>
    <t>Defanging an Ip Address</t>
  </si>
  <si>
    <t>Goal Parser Interpretation</t>
  </si>
  <si>
    <t>Jewels And Stones</t>
  </si>
  <si>
    <t>to Lower Case</t>
  </si>
  <si>
    <t>Hashing / Maps / Sets</t>
  </si>
  <si>
    <t>Intersection of Two Arrays</t>
  </si>
  <si>
    <t>Word Pattern</t>
  </si>
  <si>
    <t>Isomorphic Strings</t>
  </si>
  <si>
    <t>Find the Difference</t>
  </si>
  <si>
    <t>Unique Number of Occurrences</t>
  </si>
  <si>
    <t>First Unique Character in a String</t>
  </si>
  <si>
    <t>Longest Palindrome</t>
  </si>
  <si>
    <t>Contains Duplicate II</t>
  </si>
  <si>
    <t>Subarray Sum Equals K</t>
  </si>
  <si>
    <t>Contiguous Array</t>
  </si>
  <si>
    <t>Design Hashmap</t>
  </si>
  <si>
    <t>Design Hashset</t>
  </si>
  <si>
    <t>Keyboard Row</t>
  </si>
  <si>
    <t>Find Words That Can Be Formed By Characters</t>
  </si>
  <si>
    <t>Check If N And Its Double Exist</t>
  </si>
  <si>
    <t>How Many Numbers Are Smaller Than the Current Number</t>
  </si>
  <si>
    <t>N Repeated Element in Size 2n Array</t>
  </si>
  <si>
    <t>Find Common Characters</t>
  </si>
  <si>
    <t>Verifying an Alien Dictionary</t>
  </si>
  <si>
    <t>Number of Good Pairs</t>
  </si>
  <si>
    <t>Two Pointers &amp; Sliding Window</t>
  </si>
  <si>
    <t>Two Pointers</t>
  </si>
  <si>
    <t>Two Sum II Input Array Is Sorted</t>
  </si>
  <si>
    <t>Trapping Rain Water</t>
  </si>
  <si>
    <t>Permutation in String</t>
  </si>
  <si>
    <t>Sliding Window Maximum</t>
  </si>
  <si>
    <t>Merge Strings Alternately</t>
  </si>
  <si>
    <t>Max Consecutive Ones</t>
  </si>
  <si>
    <t>Max Consecutive Ones IIi</t>
  </si>
  <si>
    <t>Fruit Into Baskets</t>
  </si>
  <si>
    <t>Longest Subarray of 1s After Deleting One Element</t>
  </si>
  <si>
    <t>Minimum Size Subarray Sum</t>
  </si>
  <si>
    <t>Find All Anagrams in a String</t>
  </si>
  <si>
    <t>Subarray Product Less Than K</t>
  </si>
  <si>
    <t>Longest Turbulent Subarray</t>
  </si>
  <si>
    <t>Grumpy Bookstore Owner</t>
  </si>
  <si>
    <t>Get Equal Substrings Within Budget</t>
  </si>
  <si>
    <t>Maximum Number of Vowels in a Substring of Given Length</t>
  </si>
  <si>
    <t>Number of Sub Arrays of Size K And Average Greater Than Or Equal to Threshold</t>
  </si>
  <si>
    <t>Diet Plan Performance</t>
  </si>
  <si>
    <t>Maximum Average Subarray I</t>
  </si>
  <si>
    <t>K Radius Subarray Averages</t>
  </si>
  <si>
    <t>Binary Search</t>
  </si>
  <si>
    <t>Koko Eating Bananas</t>
  </si>
  <si>
    <t>Time Based Key Value Store</t>
  </si>
  <si>
    <t>Median of Two Sorted Arrays</t>
  </si>
  <si>
    <t>First Bad Version</t>
  </si>
  <si>
    <t>Guess Number Higher Or Lower</t>
  </si>
  <si>
    <t>Arranging Coins</t>
  </si>
  <si>
    <t>Find Smallest Letter Greater Than Target</t>
  </si>
  <si>
    <t>Find First And Last Position of Element in Sorted Array</t>
  </si>
  <si>
    <t>Find Peak Element</t>
  </si>
  <si>
    <t>Peak Index in a Mountain Array</t>
  </si>
  <si>
    <t>Capacity to Ship Packages Within D Days</t>
  </si>
  <si>
    <t>Split Array Largest Sum</t>
  </si>
  <si>
    <t>Magnetic Force Between Two Balls</t>
  </si>
  <si>
    <t>Minimum Number of Days to Make M Bouquets</t>
  </si>
  <si>
    <t>Find the Smallest Divisor Given a Threshold</t>
  </si>
  <si>
    <t>Kth Missing Positive Number</t>
  </si>
  <si>
    <t>Special Array With X Elements Greater Than Or Equal X</t>
  </si>
  <si>
    <t>Find Positive Integer Solution For a Given Equation</t>
  </si>
  <si>
    <t>Count Complete Tree Nodes</t>
  </si>
  <si>
    <t>Recursion &amp; Backtracking</t>
  </si>
  <si>
    <t>Recursion</t>
  </si>
  <si>
    <t>Subsets</t>
  </si>
  <si>
    <t>Combination Sum</t>
  </si>
  <si>
    <t>Permutations</t>
  </si>
  <si>
    <t>Subsets II</t>
  </si>
  <si>
    <t>Combination Sum II</t>
  </si>
  <si>
    <t>Word Search</t>
  </si>
  <si>
    <t>Palindrome Partitioning</t>
  </si>
  <si>
    <t>Letter Combinations of a Phone Number</t>
  </si>
  <si>
    <t>N Queens</t>
  </si>
  <si>
    <t>Generate Parentheses</t>
  </si>
  <si>
    <t>Combinations</t>
  </si>
  <si>
    <t>Permutations II</t>
  </si>
  <si>
    <t>Sudoku Solver</t>
  </si>
  <si>
    <t>Restore Ip Addresses</t>
  </si>
  <si>
    <t>Split a String Into the Max Number of Unique Substrings</t>
  </si>
  <si>
    <t>Sorting &amp; Searching</t>
  </si>
  <si>
    <t>Sorting</t>
  </si>
  <si>
    <t>Sort Colors</t>
  </si>
  <si>
    <t>Merge Intervals</t>
  </si>
  <si>
    <t>Insert Interval</t>
  </si>
  <si>
    <t>Non Overlapping Intervals</t>
  </si>
  <si>
    <t>Meeting Rooms</t>
  </si>
  <si>
    <t>Meeting Rooms II</t>
  </si>
  <si>
    <t>Top K Frequent Elements</t>
  </si>
  <si>
    <t>K Closest Points to Origin</t>
  </si>
  <si>
    <t>Largest Number</t>
  </si>
  <si>
    <t>Sort Array By Parity II</t>
  </si>
  <si>
    <t>Height Checker</t>
  </si>
  <si>
    <t>Relative Sort Array</t>
  </si>
  <si>
    <t>Sort Characters By Frequency</t>
  </si>
  <si>
    <t>Kth Largest Element in an Array</t>
  </si>
  <si>
    <t>Sort List</t>
  </si>
  <si>
    <t>Linked List</t>
  </si>
  <si>
    <t>Reverse Linked List</t>
  </si>
  <si>
    <t>Merge Two Sorted Lists</t>
  </si>
  <si>
    <t>Reorder List</t>
  </si>
  <si>
    <t>Remove Nth Node From End of List</t>
  </si>
  <si>
    <t>Copy List With Random Pointer</t>
  </si>
  <si>
    <t>Add Two Numbers</t>
  </si>
  <si>
    <t>Linked List Cycle</t>
  </si>
  <si>
    <t>Find the Duplicate Number</t>
  </si>
  <si>
    <t>Lru Cache</t>
  </si>
  <si>
    <t>Merge K Sorted Lists</t>
  </si>
  <si>
    <t>Reverse Nodes in K Group</t>
  </si>
  <si>
    <t>Middle of the Linked List</t>
  </si>
  <si>
    <t>Palindrome Linked List</t>
  </si>
  <si>
    <t>Intersection of Two Linked Lists</t>
  </si>
  <si>
    <t>Remove Linked List Elements</t>
  </si>
  <si>
    <t>Remove Duplicates From Sorted List</t>
  </si>
  <si>
    <t>Linked List Cycle II</t>
  </si>
  <si>
    <t>Odd Even Linked List</t>
  </si>
  <si>
    <t>Swap Nodes in Pairs</t>
  </si>
  <si>
    <t>Split Linked List in Parts</t>
  </si>
  <si>
    <t>Rotate List</t>
  </si>
  <si>
    <t>Reverse Linked List II</t>
  </si>
  <si>
    <t>Partition List</t>
  </si>
  <si>
    <t>Insertion Sort List</t>
  </si>
  <si>
    <t>Design Linked List</t>
  </si>
  <si>
    <t>Stack &amp; Queue</t>
  </si>
  <si>
    <t>Stack</t>
  </si>
  <si>
    <t>Min Stack</t>
  </si>
  <si>
    <t>Evaluate Reverse Polish Notation</t>
  </si>
  <si>
    <t>Daily Temperatures</t>
  </si>
  <si>
    <t>Car Fleet</t>
  </si>
  <si>
    <t>Largest Rectangle in Histogram</t>
  </si>
  <si>
    <t>Implement Stack Using Queues</t>
  </si>
  <si>
    <t>Implement Queue Using Stacks</t>
  </si>
  <si>
    <t>Backspace String Compare</t>
  </si>
  <si>
    <t>Next Greater Element I</t>
  </si>
  <si>
    <t>Next Greater Element II</t>
  </si>
  <si>
    <t>Remove All Adjacent Duplicates in String</t>
  </si>
  <si>
    <t>Remove Outermost Parentheses</t>
  </si>
  <si>
    <t>Make the String Great</t>
  </si>
  <si>
    <t>Crawler Log Folder</t>
  </si>
  <si>
    <t>Final Prices With a Special Discount in a Shop</t>
  </si>
  <si>
    <t>Build an Array With Stack Operations</t>
  </si>
  <si>
    <t>Longest Valid Parentheses</t>
  </si>
  <si>
    <t>Decode String</t>
  </si>
  <si>
    <t>Verify Preorder Serialization of a Binary Tree</t>
  </si>
  <si>
    <t>132 Pattern</t>
  </si>
  <si>
    <t>Asteroid Collision</t>
  </si>
  <si>
    <t>Online Stock Span</t>
  </si>
  <si>
    <t>Basic Calculator II</t>
  </si>
  <si>
    <t>Simplify Path</t>
  </si>
  <si>
    <t>Flatten Nested List Iterator</t>
  </si>
  <si>
    <t>Binary Trees</t>
  </si>
  <si>
    <t>Invert Binary Tree</t>
  </si>
  <si>
    <t>Maximum Depth of Binary Tree</t>
  </si>
  <si>
    <t>Diameter of Binary Tree</t>
  </si>
  <si>
    <t>Balanced Binary Tree</t>
  </si>
  <si>
    <t>Same Tree</t>
  </si>
  <si>
    <t>Subtree of Another Tree</t>
  </si>
  <si>
    <t>Binary Tree Level Order Traversal</t>
  </si>
  <si>
    <t>Binary Tree Right Side View</t>
  </si>
  <si>
    <t>Count Good Nodes in Binary Tree</t>
  </si>
  <si>
    <t>Construct Binary Tree From Preorder And Inorder Traversal</t>
  </si>
  <si>
    <t>Binary Tree Maximum Path Sum</t>
  </si>
  <si>
    <t>Serialize And Deserialize Binary Tree</t>
  </si>
  <si>
    <t>Merge Two Binary Trees</t>
  </si>
  <si>
    <t>Average of Levels in Binary Tree</t>
  </si>
  <si>
    <t>Minimum Depth of Binary Tree</t>
  </si>
  <si>
    <t>Path Sum</t>
  </si>
  <si>
    <t>Sum of Root to Leaf Binary Numbers</t>
  </si>
  <si>
    <t>Lowest Common Ancestor of a Binary Tree</t>
  </si>
  <si>
    <t>Binary Tree Zigzag Level Order Traversal</t>
  </si>
  <si>
    <t>Path Sum II</t>
  </si>
  <si>
    <t>Sum Root to Leaf Numbers</t>
  </si>
  <si>
    <t>Flatten Binary Tree to Linked List</t>
  </si>
  <si>
    <t>Maximum Width of Binary Tree</t>
  </si>
  <si>
    <t>Find Bottom Left Tree Value</t>
  </si>
  <si>
    <t>Find Largest Value in Each Tree Row</t>
  </si>
  <si>
    <t>Binary Search Trees</t>
  </si>
  <si>
    <t>Search in a Binary Search Tree</t>
  </si>
  <si>
    <t>Insert Into a Binary Search Tree</t>
  </si>
  <si>
    <t>Delete Node in a BST</t>
  </si>
  <si>
    <t>Lowest Common Ancestor of a Binary Search Tree</t>
  </si>
  <si>
    <t>Validate Binary Search Tree</t>
  </si>
  <si>
    <t>Kth Smallest Element in a BST</t>
  </si>
  <si>
    <t>Range Sum of BST</t>
  </si>
  <si>
    <t>Minimum Absolute Difference in BST</t>
  </si>
  <si>
    <t>Find Mode in Binary Search Tree</t>
  </si>
  <si>
    <t>Convert Sorted Array to Binary Search Tree</t>
  </si>
  <si>
    <t>⚠️ This is a licensed tracker.
Unauthorized sharing may result in access removal.
This sheet is personalized and monitored.</t>
  </si>
  <si>
    <t>Overall Statistics</t>
  </si>
  <si>
    <t>Topic-wise Progress</t>
  </si>
  <si>
    <t>Total Questions:</t>
  </si>
  <si>
    <t>Total</t>
  </si>
  <si>
    <t>Completed</t>
  </si>
  <si>
    <t>Pending</t>
  </si>
  <si>
    <t>Questions Attempted:</t>
  </si>
  <si>
    <t>Fully Solved (Status 3 = ✅):</t>
  </si>
  <si>
    <t>⭐ Repeat Items:</t>
  </si>
  <si>
    <t>🔥 Must Revise Items:</t>
  </si>
  <si>
    <t>Code</t>
  </si>
  <si>
    <t># Sample Python Solution for Fizz Buzz
class Solution:
    def solve(self):
        pass</t>
  </si>
  <si>
    <t># Sample Python Solution for Count Primes
class Solution:
    def solve(self):
        pass</t>
  </si>
  <si>
    <t># Sample Python Solution for Power of Two
class Solution:
    def solve(self):
        pass</t>
  </si>
  <si>
    <t># Sample Python Solution for Reverse Integer
class Solution:
    def solve(self):
        pass</t>
  </si>
  <si>
    <t># Sample Python Solution for Palindrome Number
class Solution:
    def solve(self):
        pass</t>
  </si>
  <si>
    <t># Sample Python Solution for Roman to Integer
class Solution:
    def solve(self):
        pass</t>
  </si>
  <si>
    <t># Sample Python Solution for Integer to Roman
class Solution:
    def solve(self):
        pass</t>
  </si>
  <si>
    <t># Sample Python Solution for Valid Perfect Square
class Solution:
    def solve(self):
        pass</t>
  </si>
  <si>
    <t># Sample Python Solution for Sqrtx
class Solution:
    def solve(self):
        pass</t>
  </si>
  <si>
    <t># Sample Python Solution for Subtract the Product And Sum of Digits of an Integer
class Solution:
    def solve(self):
        pass</t>
  </si>
  <si>
    <t># Python Solution template...
# Add your implementation here.</t>
  </si>
  <si>
    <t>// Sample Java Solution for Fizz Buzz
class Solution {
    public void solve() {
        // Core logic goes here
    }
}</t>
  </si>
  <si>
    <t>// Sample Java Solution for Count Primes
class Solution {
    public void solve() {
        // Core logic goes here
    }
}</t>
  </si>
  <si>
    <t>// Sample Java Solution for Power of Two
class Solution {
    public void solve() {
        // Core logic goes here
    }
}</t>
  </si>
  <si>
    <t>// Sample Java Solution for Reverse Integer
class Solution {
    public void solve() {
        // Core logic goes here
    }
}</t>
  </si>
  <si>
    <t>// Sample Java Solution for Palindrome Number
class Solution {
    public void solve() {
        // Core logic goes here
    }
}</t>
  </si>
  <si>
    <t>// Sample Java Solution for Roman to Integer
class Solution {
    public void solve() {
        // Core logic goes here
    }
}</t>
  </si>
  <si>
    <t>// Sample Java Solution for Integer to Roman
class Solution {
    public void solve() {
        // Core logic goes here
    }
}</t>
  </si>
  <si>
    <t>// Sample Java Solution for Valid Perfect Square
class Solution {
    public void solve() {
        // Core logic goes here
    }
}</t>
  </si>
  <si>
    <t>// Sample Java Solution for Sqrtx
class Solution {
    public void solve() {
        // Core logic goes here
    }
}</t>
  </si>
  <si>
    <t>// Sample Java Solution for Subtract the Product And Sum of Digits of an Integer
class Solution {
    public void solve() {
        // Core logic goes here
    }
}</t>
  </si>
  <si>
    <t>// Java Solution template...
// Add your implementation here.</t>
  </si>
  <si>
    <t>// Sample CPP Solution for Fizz Buzz
class Solution {
    public void solve() {
        // Core logic goes here
    }
}</t>
  </si>
  <si>
    <t>// Sample CPP Solution for Count Primes
class Solution {
    public void solve() {
        // Core logic goes here
    }
}</t>
  </si>
  <si>
    <t>// Sample CPP Solution for Power of Two
class Solution {
    public void solve() {
        // Core logic goes here
    }
}</t>
  </si>
  <si>
    <t>// Sample CPP Solution for Reverse Integer
class Solution {
    public void solve() {
        // Core logic goes here
    }
}</t>
  </si>
  <si>
    <t>// Sample CPP Solution for Palindrome Number
class Solution {
    public void solve() {
        // Core logic goes here
    }
}</t>
  </si>
  <si>
    <t>// Sample CPP Solution for Roman to Integer
class Solution {
    public void solve() {
        // Core logic goes here
    }
}</t>
  </si>
  <si>
    <t>// Sample CPP Solution for Integer to Roman
class Solution {
    public void solve() {
        // Core logic goes here
    }
}</t>
  </si>
  <si>
    <t>// Sample CPP Solution for Valid Perfect Square
class Solution {
    public void solve() {
        // Core logic goes here
    }
}</t>
  </si>
  <si>
    <t>// Sample CPP Solution for Sqrtx
class Solution {
    public void solve() {
        // Core logic goes here
    }
}</t>
  </si>
  <si>
    <t>// Sample CPP Solution for Subtract the Product And Sum of Digits of an Integer
class Solution {
    public void solve() {
        // Core logic goes here
    }
}</t>
  </si>
  <si>
    <t>// CPP Solution template...
// Add your implementation 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</si>
</sst>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rgb="FF000000"/>
      <name val="Calibri"/>
    </font>
    <font/>
    <font>
      <b/>
      <color rgb="FF666666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color theme="1"/>
      <name val="Calibri"/>
    </font>
    <font>
      <u/>
      <sz val="12.0"/>
      <color theme="10"/>
      <name val="Calibri"/>
    </font>
    <font>
      <b/>
      <color rgb="FF999999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</border>
    <border>
      <top/>
    </border>
    <border>
      <left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4" fillId="4" fontId="6" numFmtId="0" xfId="0" applyAlignment="1" applyBorder="1" applyFill="1" applyFont="1">
      <alignment horizontal="center"/>
    </xf>
    <xf borderId="0" fillId="0" fontId="8" numFmtId="0" xfId="0" applyFont="1"/>
    <xf borderId="0" fillId="0" fontId="7" numFmtId="0" xfId="0" applyAlignment="1" applyFont="1">
      <alignment readingOrder="0"/>
    </xf>
    <xf borderId="0" fillId="5" fontId="9" numFmtId="0" xfId="0" applyFill="1" applyFont="1"/>
    <xf borderId="4" fillId="4" fontId="10" numFmtId="0" xfId="0" applyBorder="1" applyFont="1"/>
    <xf borderId="4" fillId="4" fontId="6" numFmtId="0" xfId="0" applyBorder="1" applyFont="1"/>
    <xf borderId="0" fillId="0" fontId="1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unning-sum-of-1d-array/" TargetMode="External"/><Relationship Id="rId190" Type="http://schemas.openxmlformats.org/officeDocument/2006/relationships/hyperlink" Target="https://leetcode.com/problems/design-linked-list/" TargetMode="External"/><Relationship Id="rId42" Type="http://schemas.openxmlformats.org/officeDocument/2006/relationships/hyperlink" Target="https://leetcode.com/problems/spiral-matrix/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leetcode.com/problems/search-a-2d-matrix/" TargetMode="External"/><Relationship Id="rId194" Type="http://schemas.openxmlformats.org/officeDocument/2006/relationships/hyperlink" Target="https://leetcode.com/problems/car-fleet/" TargetMode="External"/><Relationship Id="rId43" Type="http://schemas.openxmlformats.org/officeDocument/2006/relationships/hyperlink" Target="https://leetcode.com/problems/rotate-image/" TargetMode="External"/><Relationship Id="rId193" Type="http://schemas.openxmlformats.org/officeDocument/2006/relationships/hyperlink" Target="https://leetcode.com/problems/daily-temperatures/" TargetMode="External"/><Relationship Id="rId46" Type="http://schemas.openxmlformats.org/officeDocument/2006/relationships/hyperlink" Target="https://leetcode.com/problems/valid-sudoku/" TargetMode="External"/><Relationship Id="rId192" Type="http://schemas.openxmlformats.org/officeDocument/2006/relationships/hyperlink" Target="https://leetcode.com/problems/evaluate-reverse-polish-notation/" TargetMode="External"/><Relationship Id="rId45" Type="http://schemas.openxmlformats.org/officeDocument/2006/relationships/hyperlink" Target="https://leetcode.com/problems/search-a-2d-matrix-ii/" TargetMode="External"/><Relationship Id="rId191" Type="http://schemas.openxmlformats.org/officeDocument/2006/relationships/hyperlink" Target="https://leetcode.com/problems/min-stack/" TargetMode="External"/><Relationship Id="rId48" Type="http://schemas.openxmlformats.org/officeDocument/2006/relationships/hyperlink" Target="https://leetcode.com/problems/count-negative-numbers-in-a-sorted-matrix/" TargetMode="External"/><Relationship Id="rId187" Type="http://schemas.openxmlformats.org/officeDocument/2006/relationships/hyperlink" Target="https://leetcode.com/problems/reverse-linked-list-ii/" TargetMode="External"/><Relationship Id="rId47" Type="http://schemas.openxmlformats.org/officeDocument/2006/relationships/hyperlink" Target="https://leetcode.com/problems/matrix-diagonal-sum/" TargetMode="External"/><Relationship Id="rId186" Type="http://schemas.openxmlformats.org/officeDocument/2006/relationships/hyperlink" Target="https://leetcode.com/problems/rotate-list/" TargetMode="External"/><Relationship Id="rId185" Type="http://schemas.openxmlformats.org/officeDocument/2006/relationships/hyperlink" Target="https://leetcode.com/problems/split-linked-list-in-parts/" TargetMode="External"/><Relationship Id="rId49" Type="http://schemas.openxmlformats.org/officeDocument/2006/relationships/hyperlink" Target="https://leetcode.com/problems/lucky-numbers-in-a-matrix/" TargetMode="External"/><Relationship Id="rId184" Type="http://schemas.openxmlformats.org/officeDocument/2006/relationships/hyperlink" Target="https://leetcode.com/problems/swap-nodes-in-pairs/" TargetMode="External"/><Relationship Id="rId189" Type="http://schemas.openxmlformats.org/officeDocument/2006/relationships/hyperlink" Target="https://leetcode.com/problems/insertion-sort-list/" TargetMode="External"/><Relationship Id="rId188" Type="http://schemas.openxmlformats.org/officeDocument/2006/relationships/hyperlink" Target="https://leetcode.com/problems/partition-list/" TargetMode="External"/><Relationship Id="rId31" Type="http://schemas.openxmlformats.org/officeDocument/2006/relationships/hyperlink" Target="https://leetcode.com/problems/pascals-triangle/" TargetMode="External"/><Relationship Id="rId30" Type="http://schemas.openxmlformats.org/officeDocument/2006/relationships/hyperlink" Target="https://leetcode.com/problems/merge-sorted-array/" TargetMode="External"/><Relationship Id="rId33" Type="http://schemas.openxmlformats.org/officeDocument/2006/relationships/hyperlink" Target="https://leetcode.com/problems/find-all-numbers-disappeared-in-an-array/" TargetMode="External"/><Relationship Id="rId183" Type="http://schemas.openxmlformats.org/officeDocument/2006/relationships/hyperlink" Target="https://leetcode.com/problems/odd-even-linked-list/" TargetMode="External"/><Relationship Id="rId32" Type="http://schemas.openxmlformats.org/officeDocument/2006/relationships/hyperlink" Target="https://leetcode.com/problems/majority-element/" TargetMode="External"/><Relationship Id="rId182" Type="http://schemas.openxmlformats.org/officeDocument/2006/relationships/hyperlink" Target="https://leetcode.com/problems/linked-list-cycle-ii/" TargetMode="External"/><Relationship Id="rId35" Type="http://schemas.openxmlformats.org/officeDocument/2006/relationships/hyperlink" Target="https://leetcode.com/problems/sort-array-by-parity/" TargetMode="External"/><Relationship Id="rId181" Type="http://schemas.openxmlformats.org/officeDocument/2006/relationships/hyperlink" Target="https://leetcode.com/problems/remove-duplicates-from-sorted-list/" TargetMode="External"/><Relationship Id="rId34" Type="http://schemas.openxmlformats.org/officeDocument/2006/relationships/hyperlink" Target="https://leetcode.com/problems/squares-of-a-sorted-array/" TargetMode="External"/><Relationship Id="rId180" Type="http://schemas.openxmlformats.org/officeDocument/2006/relationships/hyperlink" Target="https://leetcode.com/problems/remove-linked-list-elements/" TargetMode="External"/><Relationship Id="rId37" Type="http://schemas.openxmlformats.org/officeDocument/2006/relationships/hyperlink" Target="https://leetcode.com/problems/final-value-of-variable-after-performing-operations/" TargetMode="External"/><Relationship Id="rId176" Type="http://schemas.openxmlformats.org/officeDocument/2006/relationships/hyperlink" Target="https://leetcode.com/problems/reverse-nodes-in-k-group/" TargetMode="External"/><Relationship Id="rId36" Type="http://schemas.openxmlformats.org/officeDocument/2006/relationships/hyperlink" Target="https://leetcode.com/problems/third-maximum-number/" TargetMode="External"/><Relationship Id="rId175" Type="http://schemas.openxmlformats.org/officeDocument/2006/relationships/hyperlink" Target="https://leetcode.com/problems/merge-k-sorted-lists/" TargetMode="External"/><Relationship Id="rId39" Type="http://schemas.openxmlformats.org/officeDocument/2006/relationships/hyperlink" Target="https://leetcode.com/problems/concatenation-of-array/" TargetMode="External"/><Relationship Id="rId174" Type="http://schemas.openxmlformats.org/officeDocument/2006/relationships/hyperlink" Target="https://leetcode.com/problems/lru-cache/" TargetMode="External"/><Relationship Id="rId38" Type="http://schemas.openxmlformats.org/officeDocument/2006/relationships/hyperlink" Target="https://leetcode.com/problems/build-array-from-permutation/" TargetMode="External"/><Relationship Id="rId173" Type="http://schemas.openxmlformats.org/officeDocument/2006/relationships/hyperlink" Target="https://leetcode.com/problems/find-the-duplicate-number/" TargetMode="External"/><Relationship Id="rId179" Type="http://schemas.openxmlformats.org/officeDocument/2006/relationships/hyperlink" Target="https://leetcode.com/problems/intersection-of-two-linked-lists/" TargetMode="External"/><Relationship Id="rId178" Type="http://schemas.openxmlformats.org/officeDocument/2006/relationships/hyperlink" Target="https://leetcode.com/problems/palindrome-linked-list/" TargetMode="External"/><Relationship Id="rId177" Type="http://schemas.openxmlformats.org/officeDocument/2006/relationships/hyperlink" Target="https://leetcode.com/problems/middle-of-the-linked-list/" TargetMode="External"/><Relationship Id="rId20" Type="http://schemas.openxmlformats.org/officeDocument/2006/relationships/hyperlink" Target="https://leetcode.com/problems/maximum-subarray/" TargetMode="External"/><Relationship Id="rId22" Type="http://schemas.openxmlformats.org/officeDocument/2006/relationships/hyperlink" Target="https://leetcode.com/problems/find-minimum-in-rotated-sorted-array/" TargetMode="External"/><Relationship Id="rId21" Type="http://schemas.openxmlformats.org/officeDocument/2006/relationships/hyperlink" Target="https://leetcode.com/problems/maximum-product-subarray/" TargetMode="External"/><Relationship Id="rId24" Type="http://schemas.openxmlformats.org/officeDocument/2006/relationships/hyperlink" Target="https://leetcode.com/problems/3sum/" TargetMode="External"/><Relationship Id="rId23" Type="http://schemas.openxmlformats.org/officeDocument/2006/relationships/hyperlink" Target="https://leetcode.com/problems/search-in-rotated-sorted-array/" TargetMode="External"/><Relationship Id="rId26" Type="http://schemas.openxmlformats.org/officeDocument/2006/relationships/hyperlink" Target="https://leetcode.com/problems/move-zeroes/" TargetMode="External"/><Relationship Id="rId25" Type="http://schemas.openxmlformats.org/officeDocument/2006/relationships/hyperlink" Target="https://leetcode.com/problems/container-with-most-water/" TargetMode="External"/><Relationship Id="rId28" Type="http://schemas.openxmlformats.org/officeDocument/2006/relationships/hyperlink" Target="https://leetcode.com/problems/plus-one/" TargetMode="External"/><Relationship Id="rId27" Type="http://schemas.openxmlformats.org/officeDocument/2006/relationships/hyperlink" Target="https://leetcode.com/problems/remove-duplicates-from-sorted-array/" TargetMode="External"/><Relationship Id="rId29" Type="http://schemas.openxmlformats.org/officeDocument/2006/relationships/hyperlink" Target="https://leetcode.com/problems/intersection-of-two-arrays-ii/" TargetMode="External"/><Relationship Id="rId11" Type="http://schemas.openxmlformats.org/officeDocument/2006/relationships/hyperlink" Target="https://leetcode.com/problems/base-7/" TargetMode="External"/><Relationship Id="rId10" Type="http://schemas.openxmlformats.org/officeDocument/2006/relationships/hyperlink" Target="https://leetcode.com/problems/subtract-the-product-and-sum-of-digits-of-an-integer/" TargetMode="External"/><Relationship Id="rId13" Type="http://schemas.openxmlformats.org/officeDocument/2006/relationships/hyperlink" Target="https://leetcode.com/problems/add-digits/" TargetMode="External"/><Relationship Id="rId12" Type="http://schemas.openxmlformats.org/officeDocument/2006/relationships/hyperlink" Target="https://leetcode.com/problems/convert-a-number-to-hexadecimal/" TargetMode="External"/><Relationship Id="rId15" Type="http://schemas.openxmlformats.org/officeDocument/2006/relationships/hyperlink" Target="https://leetcode.com/problems/missing-number/" TargetMode="External"/><Relationship Id="rId198" Type="http://schemas.openxmlformats.org/officeDocument/2006/relationships/hyperlink" Target="https://leetcode.com/problems/backspace-string-compare/" TargetMode="External"/><Relationship Id="rId14" Type="http://schemas.openxmlformats.org/officeDocument/2006/relationships/hyperlink" Target="https://leetcode.com/problems/happy-number/" TargetMode="External"/><Relationship Id="rId197" Type="http://schemas.openxmlformats.org/officeDocument/2006/relationships/hyperlink" Target="https://leetcode.com/problems/implement-queue-using-stacks/" TargetMode="External"/><Relationship Id="rId17" Type="http://schemas.openxmlformats.org/officeDocument/2006/relationships/hyperlink" Target="https://leetcode.com/problems/best-time-to-buy-and-sell-stock/" TargetMode="External"/><Relationship Id="rId196" Type="http://schemas.openxmlformats.org/officeDocument/2006/relationships/hyperlink" Target="https://leetcode.com/problems/implement-stack-using-queues/" TargetMode="External"/><Relationship Id="rId16" Type="http://schemas.openxmlformats.org/officeDocument/2006/relationships/hyperlink" Target="https://leetcode.com/problems/two-sum/" TargetMode="External"/><Relationship Id="rId195" Type="http://schemas.openxmlformats.org/officeDocument/2006/relationships/hyperlink" Target="https://leetcode.com/problems/largest-rectangle-in-histogram/" TargetMode="External"/><Relationship Id="rId19" Type="http://schemas.openxmlformats.org/officeDocument/2006/relationships/hyperlink" Target="https://leetcode.com/problems/product-of-array-except-self/" TargetMode="External"/><Relationship Id="rId18" Type="http://schemas.openxmlformats.org/officeDocument/2006/relationships/hyperlink" Target="https://leetcode.com/problems/contains-duplicate/" TargetMode="External"/><Relationship Id="rId199" Type="http://schemas.openxmlformats.org/officeDocument/2006/relationships/hyperlink" Target="https://leetcode.com/problems/next-greater-element-i/" TargetMode="External"/><Relationship Id="rId84" Type="http://schemas.openxmlformats.org/officeDocument/2006/relationships/hyperlink" Target="https://leetcode.com/problems/subarray-sum-equals-k/" TargetMode="External"/><Relationship Id="rId83" Type="http://schemas.openxmlformats.org/officeDocument/2006/relationships/hyperlink" Target="https://leetcode.com/problems/contains-duplicate-ii/" TargetMode="External"/><Relationship Id="rId86" Type="http://schemas.openxmlformats.org/officeDocument/2006/relationships/hyperlink" Target="https://leetcode.com/problems/design-hashmap/" TargetMode="External"/><Relationship Id="rId85" Type="http://schemas.openxmlformats.org/officeDocument/2006/relationships/hyperlink" Target="https://leetcode.com/problems/contiguous-array/" TargetMode="External"/><Relationship Id="rId88" Type="http://schemas.openxmlformats.org/officeDocument/2006/relationships/hyperlink" Target="https://leetcode.com/problems/keyboard-row/" TargetMode="External"/><Relationship Id="rId150" Type="http://schemas.openxmlformats.org/officeDocument/2006/relationships/hyperlink" Target="https://leetcode.com/problems/split-a-string-into-the-max-number-of-unique-substrings/" TargetMode="External"/><Relationship Id="rId87" Type="http://schemas.openxmlformats.org/officeDocument/2006/relationships/hyperlink" Target="https://leetcode.com/problems/design-hashset/" TargetMode="External"/><Relationship Id="rId89" Type="http://schemas.openxmlformats.org/officeDocument/2006/relationships/hyperlink" Target="https://leetcode.com/problems/find-words-that-can-be-formed-by-characters/" TargetMode="External"/><Relationship Id="rId80" Type="http://schemas.openxmlformats.org/officeDocument/2006/relationships/hyperlink" Target="https://leetcode.com/problems/unique-number-of-occurrences/" TargetMode="External"/><Relationship Id="rId82" Type="http://schemas.openxmlformats.org/officeDocument/2006/relationships/hyperlink" Target="https://leetcode.com/problems/longest-palindrome/" TargetMode="External"/><Relationship Id="rId81" Type="http://schemas.openxmlformats.org/officeDocument/2006/relationships/hyperlink" Target="https://leetcode.com/problems/first-unique-character-in-a-string/" TargetMode="External"/><Relationship Id="rId1" Type="http://schemas.openxmlformats.org/officeDocument/2006/relationships/hyperlink" Target="https://leetcode.com/problems/fizz-buzz/" TargetMode="External"/><Relationship Id="rId2" Type="http://schemas.openxmlformats.org/officeDocument/2006/relationships/hyperlink" Target="https://leetcode.com/problems/count-primes/" TargetMode="External"/><Relationship Id="rId3" Type="http://schemas.openxmlformats.org/officeDocument/2006/relationships/hyperlink" Target="https://leetcode.com/problems/power-of-two/" TargetMode="External"/><Relationship Id="rId149" Type="http://schemas.openxmlformats.org/officeDocument/2006/relationships/hyperlink" Target="https://leetcode.com/problems/restore-ip-addresses/" TargetMode="External"/><Relationship Id="rId4" Type="http://schemas.openxmlformats.org/officeDocument/2006/relationships/hyperlink" Target="https://leetcode.com/problems/reverse-integer/" TargetMode="External"/><Relationship Id="rId148" Type="http://schemas.openxmlformats.org/officeDocument/2006/relationships/hyperlink" Target="https://leetcode.com/problems/sudoku-solver/" TargetMode="External"/><Relationship Id="rId9" Type="http://schemas.openxmlformats.org/officeDocument/2006/relationships/hyperlink" Target="https://leetcode.com/problems/sqrtx/" TargetMode="External"/><Relationship Id="rId143" Type="http://schemas.openxmlformats.org/officeDocument/2006/relationships/hyperlink" Target="https://leetcode.com/problems/letter-combinations-of-a-phone-number/" TargetMode="External"/><Relationship Id="rId142" Type="http://schemas.openxmlformats.org/officeDocument/2006/relationships/hyperlink" Target="https://leetcode.com/problems/palindrome-partitioning/" TargetMode="External"/><Relationship Id="rId141" Type="http://schemas.openxmlformats.org/officeDocument/2006/relationships/hyperlink" Target="https://leetcode.com/problems/word-search/" TargetMode="External"/><Relationship Id="rId140" Type="http://schemas.openxmlformats.org/officeDocument/2006/relationships/hyperlink" Target="https://leetcode.com/problems/combination-sum-ii/" TargetMode="External"/><Relationship Id="rId5" Type="http://schemas.openxmlformats.org/officeDocument/2006/relationships/hyperlink" Target="https://leetcode.com/problems/palindrome-number/" TargetMode="External"/><Relationship Id="rId147" Type="http://schemas.openxmlformats.org/officeDocument/2006/relationships/hyperlink" Target="https://leetcode.com/problems/permutations-ii/" TargetMode="External"/><Relationship Id="rId6" Type="http://schemas.openxmlformats.org/officeDocument/2006/relationships/hyperlink" Target="https://leetcode.com/problems/roman-to-integer/" TargetMode="External"/><Relationship Id="rId146" Type="http://schemas.openxmlformats.org/officeDocument/2006/relationships/hyperlink" Target="https://leetcode.com/problems/combinations/" TargetMode="External"/><Relationship Id="rId7" Type="http://schemas.openxmlformats.org/officeDocument/2006/relationships/hyperlink" Target="https://leetcode.com/problems/integer-to-roman/" TargetMode="External"/><Relationship Id="rId145" Type="http://schemas.openxmlformats.org/officeDocument/2006/relationships/hyperlink" Target="https://leetcode.com/problems/generate-parentheses/" TargetMode="External"/><Relationship Id="rId8" Type="http://schemas.openxmlformats.org/officeDocument/2006/relationships/hyperlink" Target="https://leetcode.com/problems/valid-perfect-square/" TargetMode="External"/><Relationship Id="rId144" Type="http://schemas.openxmlformats.org/officeDocument/2006/relationships/hyperlink" Target="https://leetcode.com/problems/n-queens/" TargetMode="External"/><Relationship Id="rId73" Type="http://schemas.openxmlformats.org/officeDocument/2006/relationships/hyperlink" Target="https://leetcode.com/problems/goal-parser-interpretation/" TargetMode="External"/><Relationship Id="rId72" Type="http://schemas.openxmlformats.org/officeDocument/2006/relationships/hyperlink" Target="https://leetcode.com/problems/defanging-an-ip-address/" TargetMode="External"/><Relationship Id="rId75" Type="http://schemas.openxmlformats.org/officeDocument/2006/relationships/hyperlink" Target="https://leetcode.com/problems/to-lower-case/" TargetMode="External"/><Relationship Id="rId74" Type="http://schemas.openxmlformats.org/officeDocument/2006/relationships/hyperlink" Target="https://leetcode.com/problems/jewels-and-stones/" TargetMode="External"/><Relationship Id="rId77" Type="http://schemas.openxmlformats.org/officeDocument/2006/relationships/hyperlink" Target="https://leetcode.com/problems/word-pattern/" TargetMode="External"/><Relationship Id="rId76" Type="http://schemas.openxmlformats.org/officeDocument/2006/relationships/hyperlink" Target="https://leetcode.com/problems/intersection-of-two-arrays/" TargetMode="External"/><Relationship Id="rId79" Type="http://schemas.openxmlformats.org/officeDocument/2006/relationships/hyperlink" Target="https://leetcode.com/problems/find-the-difference/" TargetMode="External"/><Relationship Id="rId78" Type="http://schemas.openxmlformats.org/officeDocument/2006/relationships/hyperlink" Target="https://leetcode.com/problems/isomorphic-strings/" TargetMode="External"/><Relationship Id="rId71" Type="http://schemas.openxmlformats.org/officeDocument/2006/relationships/hyperlink" Target="https://leetcode.com/problems/add-binary/" TargetMode="External"/><Relationship Id="rId70" Type="http://schemas.openxmlformats.org/officeDocument/2006/relationships/hyperlink" Target="https://leetcode.com/problems/length-of-last-word/" TargetMode="External"/><Relationship Id="rId139" Type="http://schemas.openxmlformats.org/officeDocument/2006/relationships/hyperlink" Target="https://leetcode.com/problems/subsets-ii/" TargetMode="External"/><Relationship Id="rId138" Type="http://schemas.openxmlformats.org/officeDocument/2006/relationships/hyperlink" Target="https://leetcode.com/problems/permutations/" TargetMode="External"/><Relationship Id="rId137" Type="http://schemas.openxmlformats.org/officeDocument/2006/relationships/hyperlink" Target="https://leetcode.com/problems/combination-sum/" TargetMode="External"/><Relationship Id="rId132" Type="http://schemas.openxmlformats.org/officeDocument/2006/relationships/hyperlink" Target="https://leetcode.com/problems/kth-missing-positive-number/" TargetMode="External"/><Relationship Id="rId131" Type="http://schemas.openxmlformats.org/officeDocument/2006/relationships/hyperlink" Target="https://leetcode.com/problems/find-the-smallest-divisor-given-a-threshold/" TargetMode="External"/><Relationship Id="rId130" Type="http://schemas.openxmlformats.org/officeDocument/2006/relationships/hyperlink" Target="https://leetcode.com/problems/minimum-number-of-days-to-make-m-bouquets/" TargetMode="External"/><Relationship Id="rId251" Type="http://schemas.openxmlformats.org/officeDocument/2006/relationships/drawing" Target="../drawings/drawing3.xml"/><Relationship Id="rId250" Type="http://schemas.openxmlformats.org/officeDocument/2006/relationships/hyperlink" Target="https://leetcode.com/problems/convert-sorted-array-to-binary-search-tree/" TargetMode="External"/><Relationship Id="rId136" Type="http://schemas.openxmlformats.org/officeDocument/2006/relationships/hyperlink" Target="https://leetcode.com/problems/subsets/" TargetMode="External"/><Relationship Id="rId135" Type="http://schemas.openxmlformats.org/officeDocument/2006/relationships/hyperlink" Target="https://leetcode.com/problems/count-complete-tree-nodes/" TargetMode="External"/><Relationship Id="rId134" Type="http://schemas.openxmlformats.org/officeDocument/2006/relationships/hyperlink" Target="https://leetcode.com/problems/find-positive-integer-solution-for-a-given-equation/" TargetMode="External"/><Relationship Id="rId133" Type="http://schemas.openxmlformats.org/officeDocument/2006/relationships/hyperlink" Target="https://leetcode.com/problems/special-array-with-x-elements-greater-than-or-equal-x/" TargetMode="External"/><Relationship Id="rId62" Type="http://schemas.openxmlformats.org/officeDocument/2006/relationships/hyperlink" Target="https://leetcode.com/problems/group-anagrams/" TargetMode="External"/><Relationship Id="rId61" Type="http://schemas.openxmlformats.org/officeDocument/2006/relationships/hyperlink" Target="https://leetcode.com/problems/longest-common-prefix/" TargetMode="External"/><Relationship Id="rId64" Type="http://schemas.openxmlformats.org/officeDocument/2006/relationships/hyperlink" Target="https://leetcode.com/problems/minimum-window-substring/" TargetMode="External"/><Relationship Id="rId63" Type="http://schemas.openxmlformats.org/officeDocument/2006/relationships/hyperlink" Target="https://leetcode.com/problems/longest-repeating-character-replacement/" TargetMode="External"/><Relationship Id="rId66" Type="http://schemas.openxmlformats.org/officeDocument/2006/relationships/hyperlink" Target="https://leetcode.com/problems/reverse-string/" TargetMode="External"/><Relationship Id="rId172" Type="http://schemas.openxmlformats.org/officeDocument/2006/relationships/hyperlink" Target="https://leetcode.com/problems/linked-list-cycle/" TargetMode="External"/><Relationship Id="rId65" Type="http://schemas.openxmlformats.org/officeDocument/2006/relationships/hyperlink" Target="https://leetcode.com/problems/encode-and-decode-tinyurl/" TargetMode="External"/><Relationship Id="rId171" Type="http://schemas.openxmlformats.org/officeDocument/2006/relationships/hyperlink" Target="https://leetcode.com/problems/add-two-numbers/" TargetMode="External"/><Relationship Id="rId68" Type="http://schemas.openxmlformats.org/officeDocument/2006/relationships/hyperlink" Target="https://leetcode.com/problems/is-subsequence/" TargetMode="External"/><Relationship Id="rId170" Type="http://schemas.openxmlformats.org/officeDocument/2006/relationships/hyperlink" Target="https://leetcode.com/problems/copy-list-with-random-pointer/" TargetMode="External"/><Relationship Id="rId67" Type="http://schemas.openxmlformats.org/officeDocument/2006/relationships/hyperlink" Target="https://leetcode.com/problems/reverse-vowels-of-a-string/" TargetMode="External"/><Relationship Id="rId60" Type="http://schemas.openxmlformats.org/officeDocument/2006/relationships/hyperlink" Target="https://leetcode.com/problems/longest-substring-without-repeating-characters/" TargetMode="External"/><Relationship Id="rId165" Type="http://schemas.openxmlformats.org/officeDocument/2006/relationships/hyperlink" Target="https://leetcode.com/problems/sort-list/" TargetMode="External"/><Relationship Id="rId69" Type="http://schemas.openxmlformats.org/officeDocument/2006/relationships/hyperlink" Target="https://leetcode.com/problems/find-the-index-of-the-first-occurrence-in-a-string/" TargetMode="External"/><Relationship Id="rId164" Type="http://schemas.openxmlformats.org/officeDocument/2006/relationships/hyperlink" Target="https://leetcode.com/problems/kth-largest-element-in-an-array/" TargetMode="External"/><Relationship Id="rId163" Type="http://schemas.openxmlformats.org/officeDocument/2006/relationships/hyperlink" Target="https://leetcode.com/problems/sort-characters-by-frequency/" TargetMode="External"/><Relationship Id="rId162" Type="http://schemas.openxmlformats.org/officeDocument/2006/relationships/hyperlink" Target="https://leetcode.com/problems/relative-sort-array/" TargetMode="External"/><Relationship Id="rId169" Type="http://schemas.openxmlformats.org/officeDocument/2006/relationships/hyperlink" Target="https://leetcode.com/problems/remove-nth-node-from-end-of-list/" TargetMode="External"/><Relationship Id="rId168" Type="http://schemas.openxmlformats.org/officeDocument/2006/relationships/hyperlink" Target="https://leetcode.com/problems/reorder-list/" TargetMode="External"/><Relationship Id="rId167" Type="http://schemas.openxmlformats.org/officeDocument/2006/relationships/hyperlink" Target="https://leetcode.com/problems/merge-two-sorted-lists/" TargetMode="External"/><Relationship Id="rId166" Type="http://schemas.openxmlformats.org/officeDocument/2006/relationships/hyperlink" Target="https://leetcode.com/problems/reverse-linked-list/" TargetMode="External"/><Relationship Id="rId51" Type="http://schemas.openxmlformats.org/officeDocument/2006/relationships/hyperlink" Target="https://leetcode.com/problems/toeplitz-matrix/" TargetMode="External"/><Relationship Id="rId50" Type="http://schemas.openxmlformats.org/officeDocument/2006/relationships/hyperlink" Target="https://leetcode.com/problems/reshape-the-matrix/" TargetMode="External"/><Relationship Id="rId53" Type="http://schemas.openxmlformats.org/officeDocument/2006/relationships/hyperlink" Target="https://leetcode.com/problems/shift-2d-grid/" TargetMode="External"/><Relationship Id="rId52" Type="http://schemas.openxmlformats.org/officeDocument/2006/relationships/hyperlink" Target="https://leetcode.com/problems/transpose-matrix/" TargetMode="External"/><Relationship Id="rId55" Type="http://schemas.openxmlformats.org/officeDocument/2006/relationships/hyperlink" Target="https://leetcode.com/problems/spiral-matrix-ii/" TargetMode="External"/><Relationship Id="rId161" Type="http://schemas.openxmlformats.org/officeDocument/2006/relationships/hyperlink" Target="https://leetcode.com/problems/height-checker/" TargetMode="External"/><Relationship Id="rId54" Type="http://schemas.openxmlformats.org/officeDocument/2006/relationships/hyperlink" Target="https://leetcode.com/problems/diagonal-traverse/" TargetMode="External"/><Relationship Id="rId160" Type="http://schemas.openxmlformats.org/officeDocument/2006/relationships/hyperlink" Target="https://leetcode.com/problems/sort-array-by-parity-ii/" TargetMode="External"/><Relationship Id="rId57" Type="http://schemas.openxmlformats.org/officeDocument/2006/relationships/hyperlink" Target="https://leetcode.com/problems/valid-anagram/" TargetMode="External"/><Relationship Id="rId56" Type="http://schemas.openxmlformats.org/officeDocument/2006/relationships/hyperlink" Target="https://leetcode.com/problems/valid-palindrome/" TargetMode="External"/><Relationship Id="rId159" Type="http://schemas.openxmlformats.org/officeDocument/2006/relationships/hyperlink" Target="https://leetcode.com/problems/largest-number/" TargetMode="External"/><Relationship Id="rId59" Type="http://schemas.openxmlformats.org/officeDocument/2006/relationships/hyperlink" Target="https://leetcode.com/problems/longest-palindromic-substring/" TargetMode="External"/><Relationship Id="rId154" Type="http://schemas.openxmlformats.org/officeDocument/2006/relationships/hyperlink" Target="https://leetcode.com/problems/non-overlapping-intervals/" TargetMode="External"/><Relationship Id="rId58" Type="http://schemas.openxmlformats.org/officeDocument/2006/relationships/hyperlink" Target="https://leetcode.com/problems/valid-parentheses/" TargetMode="External"/><Relationship Id="rId153" Type="http://schemas.openxmlformats.org/officeDocument/2006/relationships/hyperlink" Target="https://leetcode.com/problems/insert-interval/" TargetMode="External"/><Relationship Id="rId152" Type="http://schemas.openxmlformats.org/officeDocument/2006/relationships/hyperlink" Target="https://leetcode.com/problems/merge-intervals/" TargetMode="External"/><Relationship Id="rId151" Type="http://schemas.openxmlformats.org/officeDocument/2006/relationships/hyperlink" Target="https://leetcode.com/problems/sort-colors/" TargetMode="External"/><Relationship Id="rId158" Type="http://schemas.openxmlformats.org/officeDocument/2006/relationships/hyperlink" Target="https://leetcode.com/problems/k-closest-points-to-origin/" TargetMode="External"/><Relationship Id="rId157" Type="http://schemas.openxmlformats.org/officeDocument/2006/relationships/hyperlink" Target="https://leetcode.com/problems/top-k-frequent-elements/" TargetMode="External"/><Relationship Id="rId156" Type="http://schemas.openxmlformats.org/officeDocument/2006/relationships/hyperlink" Target="https://leetcode.com/problems/meeting-rooms-ii/" TargetMode="External"/><Relationship Id="rId155" Type="http://schemas.openxmlformats.org/officeDocument/2006/relationships/hyperlink" Target="https://leetcode.com/problems/meeting-rooms/" TargetMode="External"/><Relationship Id="rId107" Type="http://schemas.openxmlformats.org/officeDocument/2006/relationships/hyperlink" Target="https://leetcode.com/problems/subarray-product-less-than-k/" TargetMode="External"/><Relationship Id="rId228" Type="http://schemas.openxmlformats.org/officeDocument/2006/relationships/hyperlink" Target="https://leetcode.com/problems/merge-two-binary-trees/" TargetMode="External"/><Relationship Id="rId106" Type="http://schemas.openxmlformats.org/officeDocument/2006/relationships/hyperlink" Target="https://leetcode.com/problems/find-all-anagrams-in-a-string/" TargetMode="External"/><Relationship Id="rId227" Type="http://schemas.openxmlformats.org/officeDocument/2006/relationships/hyperlink" Target="https://leetcode.com/problems/serialize-and-deserialize-binary-tree/" TargetMode="External"/><Relationship Id="rId105" Type="http://schemas.openxmlformats.org/officeDocument/2006/relationships/hyperlink" Target="https://leetcode.com/problems/minimum-size-subarray-sum/" TargetMode="External"/><Relationship Id="rId226" Type="http://schemas.openxmlformats.org/officeDocument/2006/relationships/hyperlink" Target="https://leetcode.com/problems/binary-tree-maximum-path-sum/" TargetMode="External"/><Relationship Id="rId104" Type="http://schemas.openxmlformats.org/officeDocument/2006/relationships/hyperlink" Target="https://leetcode.com/problems/longest-subarray-of-1s-after-deleting-one-element/" TargetMode="External"/><Relationship Id="rId225" Type="http://schemas.openxmlformats.org/officeDocument/2006/relationships/hyperlink" Target="https://leetcode.com/problems/construct-binary-tree-from-preorder-and-inorder-traversal/" TargetMode="External"/><Relationship Id="rId109" Type="http://schemas.openxmlformats.org/officeDocument/2006/relationships/hyperlink" Target="https://leetcode.com/problems/grumpy-bookstore-owner/" TargetMode="External"/><Relationship Id="rId108" Type="http://schemas.openxmlformats.org/officeDocument/2006/relationships/hyperlink" Target="https://leetcode.com/problems/longest-turbulent-subarray/" TargetMode="External"/><Relationship Id="rId229" Type="http://schemas.openxmlformats.org/officeDocument/2006/relationships/hyperlink" Target="https://leetcode.com/problems/average-of-levels-in-binary-tree/" TargetMode="External"/><Relationship Id="rId220" Type="http://schemas.openxmlformats.org/officeDocument/2006/relationships/hyperlink" Target="https://leetcode.com/problems/same-tree/" TargetMode="External"/><Relationship Id="rId103" Type="http://schemas.openxmlformats.org/officeDocument/2006/relationships/hyperlink" Target="https://leetcode.com/problems/fruit-into-baskets/" TargetMode="External"/><Relationship Id="rId224" Type="http://schemas.openxmlformats.org/officeDocument/2006/relationships/hyperlink" Target="https://leetcode.com/problems/count-good-nodes-in-binary-tree/" TargetMode="External"/><Relationship Id="rId102" Type="http://schemas.openxmlformats.org/officeDocument/2006/relationships/hyperlink" Target="https://leetcode.com/problems/max-consecutive-ones-iii/" TargetMode="External"/><Relationship Id="rId223" Type="http://schemas.openxmlformats.org/officeDocument/2006/relationships/hyperlink" Target="https://leetcode.com/problems/binary-tree-right-side-view/" TargetMode="External"/><Relationship Id="rId101" Type="http://schemas.openxmlformats.org/officeDocument/2006/relationships/hyperlink" Target="https://leetcode.com/problems/max-consecutive-ones/" TargetMode="External"/><Relationship Id="rId222" Type="http://schemas.openxmlformats.org/officeDocument/2006/relationships/hyperlink" Target="https://leetcode.com/problems/binary-tree-level-order-traversal/" TargetMode="External"/><Relationship Id="rId100" Type="http://schemas.openxmlformats.org/officeDocument/2006/relationships/hyperlink" Target="https://leetcode.com/problems/merge-strings-alternately/" TargetMode="External"/><Relationship Id="rId221" Type="http://schemas.openxmlformats.org/officeDocument/2006/relationships/hyperlink" Target="https://leetcode.com/problems/subtree-of-another-tree/" TargetMode="External"/><Relationship Id="rId217" Type="http://schemas.openxmlformats.org/officeDocument/2006/relationships/hyperlink" Target="https://leetcode.com/problems/maximum-depth-of-binary-tree/" TargetMode="External"/><Relationship Id="rId216" Type="http://schemas.openxmlformats.org/officeDocument/2006/relationships/hyperlink" Target="https://leetcode.com/problems/invert-binary-tree/" TargetMode="External"/><Relationship Id="rId215" Type="http://schemas.openxmlformats.org/officeDocument/2006/relationships/hyperlink" Target="https://leetcode.com/problems/flatten-nested-list-iterator/" TargetMode="External"/><Relationship Id="rId214" Type="http://schemas.openxmlformats.org/officeDocument/2006/relationships/hyperlink" Target="https://leetcode.com/problems/simplify-path/" TargetMode="External"/><Relationship Id="rId219" Type="http://schemas.openxmlformats.org/officeDocument/2006/relationships/hyperlink" Target="https://leetcode.com/problems/balanced-binary-tree/" TargetMode="External"/><Relationship Id="rId218" Type="http://schemas.openxmlformats.org/officeDocument/2006/relationships/hyperlink" Target="https://leetcode.com/problems/diameter-of-binary-tree/" TargetMode="External"/><Relationship Id="rId213" Type="http://schemas.openxmlformats.org/officeDocument/2006/relationships/hyperlink" Target="https://leetcode.com/problems/basic-calculator-ii/" TargetMode="External"/><Relationship Id="rId212" Type="http://schemas.openxmlformats.org/officeDocument/2006/relationships/hyperlink" Target="https://leetcode.com/problems/online-stock-span/" TargetMode="External"/><Relationship Id="rId211" Type="http://schemas.openxmlformats.org/officeDocument/2006/relationships/hyperlink" Target="https://leetcode.com/problems/asteroid-collision/" TargetMode="External"/><Relationship Id="rId210" Type="http://schemas.openxmlformats.org/officeDocument/2006/relationships/hyperlink" Target="https://leetcode.com/problems/132-pattern/" TargetMode="External"/><Relationship Id="rId129" Type="http://schemas.openxmlformats.org/officeDocument/2006/relationships/hyperlink" Target="https://leetcode.com/problems/magnetic-force-between-two-balls/" TargetMode="External"/><Relationship Id="rId128" Type="http://schemas.openxmlformats.org/officeDocument/2006/relationships/hyperlink" Target="https://leetcode.com/problems/split-array-largest-sum/" TargetMode="External"/><Relationship Id="rId249" Type="http://schemas.openxmlformats.org/officeDocument/2006/relationships/hyperlink" Target="https://leetcode.com/problems/find-mode-in-binary-search-tree/" TargetMode="External"/><Relationship Id="rId127" Type="http://schemas.openxmlformats.org/officeDocument/2006/relationships/hyperlink" Target="https://leetcode.com/problems/capacity-to-ship-packages-within-d-days/" TargetMode="External"/><Relationship Id="rId248" Type="http://schemas.openxmlformats.org/officeDocument/2006/relationships/hyperlink" Target="https://leetcode.com/problems/minimum-absolute-difference-in-bst/" TargetMode="External"/><Relationship Id="rId126" Type="http://schemas.openxmlformats.org/officeDocument/2006/relationships/hyperlink" Target="https://leetcode.com/problems/peak-index-in-a-mountain-array/" TargetMode="External"/><Relationship Id="rId247" Type="http://schemas.openxmlformats.org/officeDocument/2006/relationships/hyperlink" Target="https://leetcode.com/problems/range-sum-of-bst/" TargetMode="External"/><Relationship Id="rId121" Type="http://schemas.openxmlformats.org/officeDocument/2006/relationships/hyperlink" Target="https://leetcode.com/problems/guess-number-higher-or-lower/" TargetMode="External"/><Relationship Id="rId242" Type="http://schemas.openxmlformats.org/officeDocument/2006/relationships/hyperlink" Target="https://leetcode.com/problems/insert-into-a-binary-search-tree/" TargetMode="External"/><Relationship Id="rId120" Type="http://schemas.openxmlformats.org/officeDocument/2006/relationships/hyperlink" Target="https://leetcode.com/problems/first-bad-version/" TargetMode="External"/><Relationship Id="rId241" Type="http://schemas.openxmlformats.org/officeDocument/2006/relationships/hyperlink" Target="https://leetcode.com/problems/search-in-a-binary-search-tree/" TargetMode="External"/><Relationship Id="rId240" Type="http://schemas.openxmlformats.org/officeDocument/2006/relationships/hyperlink" Target="https://leetcode.com/problems/find-largest-value-in-each-tree-row/" TargetMode="External"/><Relationship Id="rId125" Type="http://schemas.openxmlformats.org/officeDocument/2006/relationships/hyperlink" Target="https://leetcode.com/problems/find-peak-element/" TargetMode="External"/><Relationship Id="rId246" Type="http://schemas.openxmlformats.org/officeDocument/2006/relationships/hyperlink" Target="https://leetcode.com/problems/kth-smallest-element-in-a-bst/" TargetMode="External"/><Relationship Id="rId124" Type="http://schemas.openxmlformats.org/officeDocument/2006/relationships/hyperlink" Target="https://leetcode.com/problems/find-first-and-last-position-of-element-in-sorted-array/" TargetMode="External"/><Relationship Id="rId245" Type="http://schemas.openxmlformats.org/officeDocument/2006/relationships/hyperlink" Target="https://leetcode.com/problems/validate-binary-search-tree/" TargetMode="External"/><Relationship Id="rId123" Type="http://schemas.openxmlformats.org/officeDocument/2006/relationships/hyperlink" Target="https://leetcode.com/problems/find-smallest-letter-greater-than-target/" TargetMode="External"/><Relationship Id="rId244" Type="http://schemas.openxmlformats.org/officeDocument/2006/relationships/hyperlink" Target="https://leetcode.com/problems/lowest-common-ancestor-of-a-binary-search-tree/" TargetMode="External"/><Relationship Id="rId122" Type="http://schemas.openxmlformats.org/officeDocument/2006/relationships/hyperlink" Target="https://leetcode.com/problems/arranging-coins/" TargetMode="External"/><Relationship Id="rId243" Type="http://schemas.openxmlformats.org/officeDocument/2006/relationships/hyperlink" Target="https://leetcode.com/problems/delete-node-in-a-bst/" TargetMode="External"/><Relationship Id="rId95" Type="http://schemas.openxmlformats.org/officeDocument/2006/relationships/hyperlink" Target="https://leetcode.com/problems/number-of-good-pairs/" TargetMode="External"/><Relationship Id="rId94" Type="http://schemas.openxmlformats.org/officeDocument/2006/relationships/hyperlink" Target="https://leetcode.com/problems/verifying-an-alien-dictionary/" TargetMode="External"/><Relationship Id="rId97" Type="http://schemas.openxmlformats.org/officeDocument/2006/relationships/hyperlink" Target="https://leetcode.com/problems/trapping-rain-water/" TargetMode="External"/><Relationship Id="rId96" Type="http://schemas.openxmlformats.org/officeDocument/2006/relationships/hyperlink" Target="https://leetcode.com/problems/two-sum-ii-input-array-is-sorted/" TargetMode="External"/><Relationship Id="rId99" Type="http://schemas.openxmlformats.org/officeDocument/2006/relationships/hyperlink" Target="https://leetcode.com/problems/sliding-window-maximum/" TargetMode="External"/><Relationship Id="rId98" Type="http://schemas.openxmlformats.org/officeDocument/2006/relationships/hyperlink" Target="https://leetcode.com/problems/permutation-in-string/" TargetMode="External"/><Relationship Id="rId91" Type="http://schemas.openxmlformats.org/officeDocument/2006/relationships/hyperlink" Target="https://leetcode.com/problems/how-many-numbers-are-smaller-than-the-current-number/" TargetMode="External"/><Relationship Id="rId90" Type="http://schemas.openxmlformats.org/officeDocument/2006/relationships/hyperlink" Target="https://leetcode.com/problems/check-if-n-and-its-double-exist/" TargetMode="External"/><Relationship Id="rId93" Type="http://schemas.openxmlformats.org/officeDocument/2006/relationships/hyperlink" Target="https://leetcode.com/problems/find-common-characters/" TargetMode="External"/><Relationship Id="rId92" Type="http://schemas.openxmlformats.org/officeDocument/2006/relationships/hyperlink" Target="https://leetcode.com/problems/n-repeated-element-in-size-2n-array/" TargetMode="External"/><Relationship Id="rId118" Type="http://schemas.openxmlformats.org/officeDocument/2006/relationships/hyperlink" Target="https://leetcode.com/problems/time-based-key-value-store/" TargetMode="External"/><Relationship Id="rId239" Type="http://schemas.openxmlformats.org/officeDocument/2006/relationships/hyperlink" Target="https://leetcode.com/problems/find-bottom-left-tree-value/" TargetMode="External"/><Relationship Id="rId117" Type="http://schemas.openxmlformats.org/officeDocument/2006/relationships/hyperlink" Target="https://leetcode.com/problems/koko-eating-bananas/" TargetMode="External"/><Relationship Id="rId238" Type="http://schemas.openxmlformats.org/officeDocument/2006/relationships/hyperlink" Target="https://leetcode.com/problems/maximum-width-of-binary-tree/" TargetMode="External"/><Relationship Id="rId116" Type="http://schemas.openxmlformats.org/officeDocument/2006/relationships/hyperlink" Target="https://leetcode.com/problems/binary-search/" TargetMode="External"/><Relationship Id="rId237" Type="http://schemas.openxmlformats.org/officeDocument/2006/relationships/hyperlink" Target="https://leetcode.com/problems/flatten-binary-tree-to-linked-list/" TargetMode="External"/><Relationship Id="rId115" Type="http://schemas.openxmlformats.org/officeDocument/2006/relationships/hyperlink" Target="https://leetcode.com/problems/k-radius-subarray-averages/" TargetMode="External"/><Relationship Id="rId236" Type="http://schemas.openxmlformats.org/officeDocument/2006/relationships/hyperlink" Target="https://leetcode.com/problems/sum-root-to-leaf-numbers/" TargetMode="External"/><Relationship Id="rId119" Type="http://schemas.openxmlformats.org/officeDocument/2006/relationships/hyperlink" Target="https://leetcode.com/problems/median-of-two-sorted-arrays/" TargetMode="External"/><Relationship Id="rId110" Type="http://schemas.openxmlformats.org/officeDocument/2006/relationships/hyperlink" Target="https://leetcode.com/problems/get-equal-substrings-within-budget/" TargetMode="External"/><Relationship Id="rId231" Type="http://schemas.openxmlformats.org/officeDocument/2006/relationships/hyperlink" Target="https://leetcode.com/problems/path-sum/" TargetMode="External"/><Relationship Id="rId230" Type="http://schemas.openxmlformats.org/officeDocument/2006/relationships/hyperlink" Target="https://leetcode.com/problems/minimum-depth-of-binary-tree/" TargetMode="External"/><Relationship Id="rId114" Type="http://schemas.openxmlformats.org/officeDocument/2006/relationships/hyperlink" Target="https://leetcode.com/problems/maximum-average-subarray-i/" TargetMode="External"/><Relationship Id="rId235" Type="http://schemas.openxmlformats.org/officeDocument/2006/relationships/hyperlink" Target="https://leetcode.com/problems/path-sum-ii/" TargetMode="External"/><Relationship Id="rId113" Type="http://schemas.openxmlformats.org/officeDocument/2006/relationships/hyperlink" Target="https://leetcode.com/problems/diet-plan-performance/" TargetMode="External"/><Relationship Id="rId234" Type="http://schemas.openxmlformats.org/officeDocument/2006/relationships/hyperlink" Target="https://leetcode.com/problems/binary-tree-zigzag-level-order-traversal/" TargetMode="External"/><Relationship Id="rId112" Type="http://schemas.openxmlformats.org/officeDocument/2006/relationships/hyperlink" Target="https://leetcode.com/problems/number-of-sub-arrays-of-size-k-and-average-greater-than-or-equal-to-threshold/" TargetMode="External"/><Relationship Id="rId233" Type="http://schemas.openxmlformats.org/officeDocument/2006/relationships/hyperlink" Target="https://leetcode.com/problems/lowest-common-ancestor-of-a-binary-tree/" TargetMode="External"/><Relationship Id="rId111" Type="http://schemas.openxmlformats.org/officeDocument/2006/relationships/hyperlink" Target="https://leetcode.com/problems/maximum-number-of-vowels-in-a-substring-of-given-length/" TargetMode="External"/><Relationship Id="rId232" Type="http://schemas.openxmlformats.org/officeDocument/2006/relationships/hyperlink" Target="https://leetcode.com/problems/sum-of-root-to-leaf-binary-numbers/" TargetMode="External"/><Relationship Id="rId206" Type="http://schemas.openxmlformats.org/officeDocument/2006/relationships/hyperlink" Target="https://leetcode.com/problems/build-an-array-with-stack-operations/" TargetMode="External"/><Relationship Id="rId205" Type="http://schemas.openxmlformats.org/officeDocument/2006/relationships/hyperlink" Target="https://leetcode.com/problems/final-prices-with-a-special-discount-in-a-shop/" TargetMode="External"/><Relationship Id="rId204" Type="http://schemas.openxmlformats.org/officeDocument/2006/relationships/hyperlink" Target="https://leetcode.com/problems/crawler-log-folder/" TargetMode="External"/><Relationship Id="rId203" Type="http://schemas.openxmlformats.org/officeDocument/2006/relationships/hyperlink" Target="https://leetcode.com/problems/make-the-string-great/" TargetMode="External"/><Relationship Id="rId209" Type="http://schemas.openxmlformats.org/officeDocument/2006/relationships/hyperlink" Target="https://leetcode.com/problems/verify-preorder-serialization-of-a-binary-tree/" TargetMode="External"/><Relationship Id="rId208" Type="http://schemas.openxmlformats.org/officeDocument/2006/relationships/hyperlink" Target="https://leetcode.com/problems/decode-string/" TargetMode="External"/><Relationship Id="rId207" Type="http://schemas.openxmlformats.org/officeDocument/2006/relationships/hyperlink" Target="https://leetcode.com/problems/longest-valid-parentheses/" TargetMode="External"/><Relationship Id="rId202" Type="http://schemas.openxmlformats.org/officeDocument/2006/relationships/hyperlink" Target="https://leetcode.com/problems/remove-outermost-parentheses/" TargetMode="External"/><Relationship Id="rId201" Type="http://schemas.openxmlformats.org/officeDocument/2006/relationships/hyperlink" Target="https://leetcode.com/problems/remove-all-adjacent-duplicates-in-string/" TargetMode="External"/><Relationship Id="rId200" Type="http://schemas.openxmlformats.org/officeDocument/2006/relationships/hyperlink" Target="https://leetcode.com/problems/next-greater-element-ii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0.0"/>
    <col customWidth="1" min="3" max="26" width="8.86"/>
  </cols>
  <sheetData>
    <row r="2">
      <c r="B2" s="1" t="s">
        <v>0</v>
      </c>
      <c r="C2" s="2"/>
      <c r="D2" s="2"/>
      <c r="E2" s="2"/>
      <c r="F2" s="2"/>
      <c r="G2" s="2"/>
      <c r="H2" s="2"/>
    </row>
    <row r="3">
      <c r="B3" s="3"/>
    </row>
    <row r="5">
      <c r="B5" s="4" t="s">
        <v>1</v>
      </c>
    </row>
    <row r="7">
      <c r="B7" s="5" t="s">
        <v>2</v>
      </c>
    </row>
    <row r="8">
      <c r="B8" s="6" t="s">
        <v>3</v>
      </c>
    </row>
    <row r="9">
      <c r="B9" s="6"/>
    </row>
    <row r="10">
      <c r="B10" s="5" t="s">
        <v>4</v>
      </c>
    </row>
    <row r="11">
      <c r="B11" s="6" t="s">
        <v>5</v>
      </c>
    </row>
    <row r="12">
      <c r="B12" s="6" t="s">
        <v>6</v>
      </c>
    </row>
    <row r="13">
      <c r="B13" s="6" t="s">
        <v>7</v>
      </c>
    </row>
    <row r="14">
      <c r="B14" s="6"/>
    </row>
    <row r="15">
      <c r="B15" s="5" t="s">
        <v>8</v>
      </c>
    </row>
    <row r="16">
      <c r="B16" s="6" t="s">
        <v>9</v>
      </c>
    </row>
    <row r="17">
      <c r="B17" s="6" t="s">
        <v>10</v>
      </c>
    </row>
    <row r="19">
      <c r="B19" s="7" t="s">
        <v>11</v>
      </c>
    </row>
    <row r="20">
      <c r="B20" s="8" t="s">
        <v>12</v>
      </c>
    </row>
    <row r="21" ht="15.75" customHeight="1">
      <c r="B21" s="8" t="s">
        <v>13</v>
      </c>
    </row>
    <row r="22" ht="15.75" customHeight="1">
      <c r="B22" s="8" t="s">
        <v>14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15</v>
      </c>
      <c r="B1" s="8" t="s">
        <v>16</v>
      </c>
      <c r="C1" s="8" t="s">
        <v>17</v>
      </c>
      <c r="D1" s="8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3" width="20.0"/>
    <col customWidth="1" min="4" max="4" width="45.0"/>
    <col customWidth="1" min="5" max="5" width="15.0"/>
    <col customWidth="1" min="6" max="9" width="12.0"/>
    <col customWidth="1" min="10" max="10" width="15.0"/>
    <col customWidth="1" min="11" max="13" width="30.0"/>
    <col customWidth="1" min="14" max="16" width="20.0"/>
    <col customWidth="1" min="17" max="18" width="15.0"/>
    <col customWidth="1" min="19" max="26" width="8.86"/>
  </cols>
  <sheetData>
    <row r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</row>
    <row r="2">
      <c r="A2" s="8">
        <v>1.0</v>
      </c>
      <c r="B2" s="8" t="s">
        <v>37</v>
      </c>
      <c r="C2" s="8" t="s">
        <v>38</v>
      </c>
      <c r="D2" s="10" t="s">
        <v>39</v>
      </c>
      <c r="E2" s="8" t="s">
        <v>40</v>
      </c>
      <c r="F2" s="8" t="s">
        <v>41</v>
      </c>
      <c r="G2" s="11" t="s">
        <v>42</v>
      </c>
      <c r="H2" s="8" t="s">
        <v>43</v>
      </c>
      <c r="I2" s="8" t="s">
        <v>43</v>
      </c>
      <c r="J2" s="8"/>
      <c r="R2" s="8"/>
    </row>
    <row r="3">
      <c r="A3" s="8">
        <v>2.0</v>
      </c>
      <c r="B3" s="8" t="s">
        <v>37</v>
      </c>
      <c r="C3" s="8" t="s">
        <v>38</v>
      </c>
      <c r="D3" s="10" t="s">
        <v>44</v>
      </c>
      <c r="E3" s="8" t="s">
        <v>40</v>
      </c>
      <c r="F3" s="8" t="s">
        <v>41</v>
      </c>
      <c r="G3" s="8" t="s">
        <v>43</v>
      </c>
      <c r="H3" s="8" t="s">
        <v>43</v>
      </c>
      <c r="I3" s="8" t="s">
        <v>43</v>
      </c>
      <c r="J3" s="8"/>
      <c r="R3" s="8"/>
    </row>
    <row r="4">
      <c r="A4" s="8">
        <v>3.0</v>
      </c>
      <c r="B4" s="8" t="s">
        <v>37</v>
      </c>
      <c r="C4" s="8" t="s">
        <v>38</v>
      </c>
      <c r="D4" s="10" t="s">
        <v>45</v>
      </c>
      <c r="E4" s="8" t="s">
        <v>40</v>
      </c>
      <c r="F4" s="8" t="s">
        <v>46</v>
      </c>
      <c r="G4" s="8" t="s">
        <v>43</v>
      </c>
      <c r="H4" s="8" t="s">
        <v>43</v>
      </c>
      <c r="I4" s="8" t="s">
        <v>43</v>
      </c>
      <c r="J4" s="8"/>
      <c r="R4" s="8"/>
    </row>
    <row r="5">
      <c r="A5" s="8">
        <v>4.0</v>
      </c>
      <c r="B5" s="8" t="s">
        <v>37</v>
      </c>
      <c r="C5" s="8" t="s">
        <v>38</v>
      </c>
      <c r="D5" s="10" t="s">
        <v>47</v>
      </c>
      <c r="E5" s="8" t="s">
        <v>40</v>
      </c>
      <c r="F5" s="8" t="s">
        <v>41</v>
      </c>
      <c r="G5" s="8" t="s">
        <v>43</v>
      </c>
      <c r="H5" s="8" t="s">
        <v>43</v>
      </c>
      <c r="I5" s="8" t="s">
        <v>43</v>
      </c>
      <c r="J5" s="8"/>
      <c r="R5" s="8"/>
    </row>
    <row r="6">
      <c r="A6" s="8">
        <v>5.0</v>
      </c>
      <c r="B6" s="8" t="s">
        <v>37</v>
      </c>
      <c r="C6" s="8" t="s">
        <v>38</v>
      </c>
      <c r="D6" s="10" t="s">
        <v>48</v>
      </c>
      <c r="E6" s="8" t="s">
        <v>40</v>
      </c>
      <c r="F6" s="8" t="s">
        <v>41</v>
      </c>
      <c r="G6" s="8" t="s">
        <v>43</v>
      </c>
      <c r="H6" s="8" t="s">
        <v>43</v>
      </c>
      <c r="I6" s="8" t="s">
        <v>43</v>
      </c>
      <c r="J6" s="8"/>
      <c r="R6" s="8"/>
    </row>
    <row r="7">
      <c r="A7" s="8">
        <v>6.0</v>
      </c>
      <c r="B7" s="8" t="s">
        <v>37</v>
      </c>
      <c r="C7" s="8" t="s">
        <v>38</v>
      </c>
      <c r="D7" s="10" t="s">
        <v>49</v>
      </c>
      <c r="E7" s="8" t="s">
        <v>40</v>
      </c>
      <c r="F7" s="8" t="s">
        <v>46</v>
      </c>
      <c r="G7" s="8" t="s">
        <v>43</v>
      </c>
      <c r="H7" s="8" t="s">
        <v>43</v>
      </c>
      <c r="I7" s="8" t="s">
        <v>43</v>
      </c>
      <c r="J7" s="8"/>
      <c r="R7" s="8"/>
    </row>
    <row r="8">
      <c r="A8" s="8">
        <v>7.0</v>
      </c>
      <c r="B8" s="8" t="s">
        <v>37</v>
      </c>
      <c r="C8" s="8" t="s">
        <v>38</v>
      </c>
      <c r="D8" s="10" t="s">
        <v>50</v>
      </c>
      <c r="E8" s="8" t="s">
        <v>40</v>
      </c>
      <c r="F8" s="8" t="s">
        <v>41</v>
      </c>
      <c r="G8" s="8" t="s">
        <v>43</v>
      </c>
      <c r="H8" s="8" t="s">
        <v>43</v>
      </c>
      <c r="I8" s="8" t="s">
        <v>43</v>
      </c>
      <c r="J8" s="8"/>
      <c r="R8" s="8"/>
    </row>
    <row r="9">
      <c r="A9" s="8">
        <v>8.0</v>
      </c>
      <c r="B9" s="8" t="s">
        <v>37</v>
      </c>
      <c r="C9" s="8" t="s">
        <v>38</v>
      </c>
      <c r="D9" s="10" t="s">
        <v>51</v>
      </c>
      <c r="E9" s="8" t="s">
        <v>40</v>
      </c>
      <c r="F9" s="8" t="s">
        <v>41</v>
      </c>
      <c r="G9" s="8" t="s">
        <v>43</v>
      </c>
      <c r="H9" s="8" t="s">
        <v>43</v>
      </c>
      <c r="I9" s="8" t="s">
        <v>43</v>
      </c>
      <c r="J9" s="8"/>
      <c r="R9" s="8"/>
    </row>
    <row r="10">
      <c r="A10" s="8">
        <v>9.0</v>
      </c>
      <c r="B10" s="8" t="s">
        <v>37</v>
      </c>
      <c r="C10" s="8" t="s">
        <v>38</v>
      </c>
      <c r="D10" s="10" t="s">
        <v>52</v>
      </c>
      <c r="E10" s="8" t="s">
        <v>40</v>
      </c>
      <c r="F10" s="8" t="s">
        <v>46</v>
      </c>
      <c r="G10" s="8" t="s">
        <v>43</v>
      </c>
      <c r="H10" s="8" t="s">
        <v>43</v>
      </c>
      <c r="I10" s="8" t="s">
        <v>43</v>
      </c>
      <c r="J10" s="8"/>
      <c r="R10" s="8"/>
    </row>
    <row r="11">
      <c r="A11" s="8">
        <v>10.0</v>
      </c>
      <c r="B11" s="8" t="s">
        <v>37</v>
      </c>
      <c r="C11" s="8" t="s">
        <v>38</v>
      </c>
      <c r="D11" s="10" t="s">
        <v>53</v>
      </c>
      <c r="E11" s="8" t="s">
        <v>40</v>
      </c>
      <c r="F11" s="8" t="s">
        <v>41</v>
      </c>
      <c r="G11" s="8" t="s">
        <v>43</v>
      </c>
      <c r="H11" s="8" t="s">
        <v>43</v>
      </c>
      <c r="I11" s="8" t="s">
        <v>43</v>
      </c>
      <c r="J11" s="8"/>
      <c r="R11" s="8"/>
    </row>
    <row r="12">
      <c r="A12" s="8">
        <v>11.0</v>
      </c>
      <c r="B12" s="8" t="s">
        <v>37</v>
      </c>
      <c r="C12" s="8" t="s">
        <v>38</v>
      </c>
      <c r="D12" s="10" t="s">
        <v>54</v>
      </c>
      <c r="E12" s="8" t="s">
        <v>40</v>
      </c>
      <c r="F12" s="8" t="s">
        <v>41</v>
      </c>
      <c r="G12" s="8" t="s">
        <v>43</v>
      </c>
      <c r="H12" s="8" t="s">
        <v>43</v>
      </c>
      <c r="I12" s="8" t="s">
        <v>43</v>
      </c>
      <c r="J12" s="8"/>
      <c r="R12" s="8"/>
    </row>
    <row r="13">
      <c r="A13" s="8">
        <v>12.0</v>
      </c>
      <c r="B13" s="8" t="s">
        <v>37</v>
      </c>
      <c r="C13" s="8" t="s">
        <v>38</v>
      </c>
      <c r="D13" s="10" t="s">
        <v>55</v>
      </c>
      <c r="E13" s="8" t="s">
        <v>40</v>
      </c>
      <c r="F13" s="8" t="s">
        <v>46</v>
      </c>
      <c r="G13" s="8" t="s">
        <v>43</v>
      </c>
      <c r="H13" s="8" t="s">
        <v>43</v>
      </c>
      <c r="I13" s="8" t="s">
        <v>43</v>
      </c>
      <c r="J13" s="8"/>
      <c r="R13" s="8"/>
    </row>
    <row r="14">
      <c r="A14" s="8">
        <v>13.0</v>
      </c>
      <c r="B14" s="8" t="s">
        <v>37</v>
      </c>
      <c r="C14" s="8" t="s">
        <v>38</v>
      </c>
      <c r="D14" s="10" t="s">
        <v>56</v>
      </c>
      <c r="E14" s="8" t="s">
        <v>40</v>
      </c>
      <c r="F14" s="8" t="s">
        <v>41</v>
      </c>
      <c r="G14" s="8" t="s">
        <v>43</v>
      </c>
      <c r="H14" s="8" t="s">
        <v>43</v>
      </c>
      <c r="I14" s="8" t="s">
        <v>43</v>
      </c>
      <c r="J14" s="8"/>
      <c r="R14" s="8"/>
    </row>
    <row r="15">
      <c r="A15" s="8">
        <v>14.0</v>
      </c>
      <c r="B15" s="8" t="s">
        <v>37</v>
      </c>
      <c r="C15" s="8" t="s">
        <v>38</v>
      </c>
      <c r="D15" s="10" t="s">
        <v>57</v>
      </c>
      <c r="E15" s="8" t="s">
        <v>40</v>
      </c>
      <c r="F15" s="8" t="s">
        <v>41</v>
      </c>
      <c r="G15" s="8" t="s">
        <v>43</v>
      </c>
      <c r="H15" s="8" t="s">
        <v>43</v>
      </c>
      <c r="I15" s="8" t="s">
        <v>43</v>
      </c>
      <c r="J15" s="8"/>
      <c r="R15" s="8"/>
    </row>
    <row r="16">
      <c r="A16" s="8">
        <v>15.0</v>
      </c>
      <c r="B16" s="8" t="s">
        <v>37</v>
      </c>
      <c r="C16" s="8" t="s">
        <v>38</v>
      </c>
      <c r="D16" s="10" t="s">
        <v>58</v>
      </c>
      <c r="E16" s="8" t="s">
        <v>40</v>
      </c>
      <c r="F16" s="8" t="s">
        <v>46</v>
      </c>
      <c r="G16" s="8" t="s">
        <v>43</v>
      </c>
      <c r="H16" s="8" t="s">
        <v>43</v>
      </c>
      <c r="I16" s="8" t="s">
        <v>43</v>
      </c>
      <c r="J16" s="8"/>
      <c r="R16" s="8"/>
    </row>
    <row r="17">
      <c r="A17" s="8">
        <v>16.0</v>
      </c>
      <c r="B17" s="8" t="s">
        <v>59</v>
      </c>
      <c r="C17" s="8" t="s">
        <v>60</v>
      </c>
      <c r="D17" s="10" t="s">
        <v>61</v>
      </c>
      <c r="E17" s="8" t="s">
        <v>40</v>
      </c>
      <c r="F17" s="8" t="s">
        <v>41</v>
      </c>
      <c r="G17" s="8" t="s">
        <v>43</v>
      </c>
      <c r="H17" s="8" t="s">
        <v>43</v>
      </c>
      <c r="I17" s="8" t="s">
        <v>43</v>
      </c>
      <c r="J17" s="8"/>
      <c r="R17" s="8"/>
    </row>
    <row r="18">
      <c r="A18" s="8">
        <v>17.0</v>
      </c>
      <c r="B18" s="8" t="s">
        <v>59</v>
      </c>
      <c r="C18" s="8" t="s">
        <v>60</v>
      </c>
      <c r="D18" s="10" t="s">
        <v>62</v>
      </c>
      <c r="E18" s="8" t="s">
        <v>40</v>
      </c>
      <c r="F18" s="8" t="s">
        <v>41</v>
      </c>
      <c r="G18" s="8" t="s">
        <v>43</v>
      </c>
      <c r="H18" s="8" t="s">
        <v>43</v>
      </c>
      <c r="I18" s="8" t="s">
        <v>43</v>
      </c>
      <c r="J18" s="8"/>
      <c r="R18" s="8"/>
    </row>
    <row r="19">
      <c r="A19" s="8">
        <v>18.0</v>
      </c>
      <c r="B19" s="8" t="s">
        <v>59</v>
      </c>
      <c r="C19" s="8" t="s">
        <v>60</v>
      </c>
      <c r="D19" s="10" t="s">
        <v>63</v>
      </c>
      <c r="E19" s="8" t="s">
        <v>40</v>
      </c>
      <c r="F19" s="8" t="s">
        <v>46</v>
      </c>
      <c r="G19" s="8" t="s">
        <v>43</v>
      </c>
      <c r="H19" s="8" t="s">
        <v>43</v>
      </c>
      <c r="I19" s="8" t="s">
        <v>43</v>
      </c>
      <c r="J19" s="8"/>
      <c r="R19" s="8"/>
    </row>
    <row r="20">
      <c r="A20" s="8">
        <v>19.0</v>
      </c>
      <c r="B20" s="8" t="s">
        <v>59</v>
      </c>
      <c r="C20" s="8" t="s">
        <v>60</v>
      </c>
      <c r="D20" s="10" t="s">
        <v>64</v>
      </c>
      <c r="E20" s="8" t="s">
        <v>40</v>
      </c>
      <c r="F20" s="8" t="s">
        <v>41</v>
      </c>
      <c r="G20" s="8" t="s">
        <v>43</v>
      </c>
      <c r="H20" s="8" t="s">
        <v>43</v>
      </c>
      <c r="I20" s="8" t="s">
        <v>43</v>
      </c>
      <c r="J20" s="8"/>
      <c r="R20" s="8"/>
    </row>
    <row r="21" ht="15.75" customHeight="1">
      <c r="A21" s="8">
        <v>20.0</v>
      </c>
      <c r="B21" s="8" t="s">
        <v>59</v>
      </c>
      <c r="C21" s="8" t="s">
        <v>60</v>
      </c>
      <c r="D21" s="10" t="s">
        <v>65</v>
      </c>
      <c r="E21" s="8" t="s">
        <v>40</v>
      </c>
      <c r="F21" s="8" t="s">
        <v>41</v>
      </c>
      <c r="G21" s="8" t="s">
        <v>43</v>
      </c>
      <c r="H21" s="8" t="s">
        <v>43</v>
      </c>
      <c r="I21" s="8" t="s">
        <v>43</v>
      </c>
      <c r="J21" s="8"/>
      <c r="R21" s="8"/>
    </row>
    <row r="22" ht="15.75" customHeight="1">
      <c r="A22" s="8">
        <v>21.0</v>
      </c>
      <c r="B22" s="8" t="s">
        <v>59</v>
      </c>
      <c r="C22" s="8" t="s">
        <v>60</v>
      </c>
      <c r="D22" s="10" t="s">
        <v>66</v>
      </c>
      <c r="E22" s="8" t="s">
        <v>40</v>
      </c>
      <c r="F22" s="8" t="s">
        <v>46</v>
      </c>
      <c r="G22" s="8" t="s">
        <v>43</v>
      </c>
      <c r="H22" s="8" t="s">
        <v>43</v>
      </c>
      <c r="I22" s="8" t="s">
        <v>43</v>
      </c>
      <c r="J22" s="8"/>
      <c r="R22" s="8"/>
    </row>
    <row r="23" ht="15.75" customHeight="1">
      <c r="A23" s="8">
        <v>22.0</v>
      </c>
      <c r="B23" s="8" t="s">
        <v>59</v>
      </c>
      <c r="C23" s="8" t="s">
        <v>60</v>
      </c>
      <c r="D23" s="10" t="s">
        <v>67</v>
      </c>
      <c r="E23" s="8" t="s">
        <v>40</v>
      </c>
      <c r="F23" s="8" t="s">
        <v>41</v>
      </c>
      <c r="G23" s="8" t="s">
        <v>43</v>
      </c>
      <c r="H23" s="8" t="s">
        <v>43</v>
      </c>
      <c r="I23" s="8" t="s">
        <v>43</v>
      </c>
      <c r="J23" s="8"/>
      <c r="R23" s="8"/>
    </row>
    <row r="24" ht="15.75" customHeight="1">
      <c r="A24" s="8">
        <v>23.0</v>
      </c>
      <c r="B24" s="8" t="s">
        <v>59</v>
      </c>
      <c r="C24" s="8" t="s">
        <v>60</v>
      </c>
      <c r="D24" s="10" t="s">
        <v>68</v>
      </c>
      <c r="E24" s="8" t="s">
        <v>40</v>
      </c>
      <c r="F24" s="8" t="s">
        <v>41</v>
      </c>
      <c r="G24" s="8" t="s">
        <v>43</v>
      </c>
      <c r="H24" s="8" t="s">
        <v>43</v>
      </c>
      <c r="I24" s="8" t="s">
        <v>43</v>
      </c>
      <c r="J24" s="8"/>
      <c r="R24" s="8"/>
    </row>
    <row r="25" ht="15.75" customHeight="1">
      <c r="A25" s="8">
        <v>24.0</v>
      </c>
      <c r="B25" s="8" t="s">
        <v>59</v>
      </c>
      <c r="C25" s="8" t="s">
        <v>60</v>
      </c>
      <c r="D25" s="10" t="s">
        <v>69</v>
      </c>
      <c r="E25" s="8" t="s">
        <v>40</v>
      </c>
      <c r="F25" s="8" t="s">
        <v>46</v>
      </c>
      <c r="G25" s="8" t="s">
        <v>43</v>
      </c>
      <c r="H25" s="8" t="s">
        <v>43</v>
      </c>
      <c r="I25" s="8" t="s">
        <v>43</v>
      </c>
      <c r="J25" s="8"/>
      <c r="R25" s="8"/>
    </row>
    <row r="26" ht="15.75" customHeight="1">
      <c r="A26" s="8">
        <v>25.0</v>
      </c>
      <c r="B26" s="8" t="s">
        <v>59</v>
      </c>
      <c r="C26" s="8" t="s">
        <v>60</v>
      </c>
      <c r="D26" s="10" t="s">
        <v>70</v>
      </c>
      <c r="E26" s="8" t="s">
        <v>40</v>
      </c>
      <c r="F26" s="8" t="s">
        <v>41</v>
      </c>
      <c r="G26" s="8" t="s">
        <v>43</v>
      </c>
      <c r="H26" s="8" t="s">
        <v>43</v>
      </c>
      <c r="I26" s="8" t="s">
        <v>43</v>
      </c>
      <c r="J26" s="8"/>
      <c r="R26" s="8"/>
    </row>
    <row r="27" ht="15.75" customHeight="1">
      <c r="A27" s="8">
        <v>26.0</v>
      </c>
      <c r="B27" s="8" t="s">
        <v>59</v>
      </c>
      <c r="C27" s="8" t="s">
        <v>60</v>
      </c>
      <c r="D27" s="10" t="s">
        <v>71</v>
      </c>
      <c r="E27" s="8" t="s">
        <v>40</v>
      </c>
      <c r="F27" s="8" t="s">
        <v>41</v>
      </c>
      <c r="G27" s="8" t="s">
        <v>43</v>
      </c>
      <c r="H27" s="8" t="s">
        <v>43</v>
      </c>
      <c r="I27" s="8" t="s">
        <v>43</v>
      </c>
      <c r="J27" s="8"/>
      <c r="R27" s="8"/>
    </row>
    <row r="28" ht="15.75" customHeight="1">
      <c r="A28" s="8">
        <v>27.0</v>
      </c>
      <c r="B28" s="8" t="s">
        <v>59</v>
      </c>
      <c r="C28" s="8" t="s">
        <v>60</v>
      </c>
      <c r="D28" s="10" t="s">
        <v>72</v>
      </c>
      <c r="E28" s="8" t="s">
        <v>40</v>
      </c>
      <c r="F28" s="8" t="s">
        <v>46</v>
      </c>
      <c r="G28" s="8" t="s">
        <v>43</v>
      </c>
      <c r="H28" s="8" t="s">
        <v>43</v>
      </c>
      <c r="I28" s="8" t="s">
        <v>43</v>
      </c>
      <c r="J28" s="8"/>
      <c r="R28" s="8"/>
    </row>
    <row r="29" ht="15.75" customHeight="1">
      <c r="A29" s="8">
        <v>28.0</v>
      </c>
      <c r="B29" s="8" t="s">
        <v>59</v>
      </c>
      <c r="C29" s="8" t="s">
        <v>60</v>
      </c>
      <c r="D29" s="10" t="s">
        <v>73</v>
      </c>
      <c r="E29" s="8" t="s">
        <v>40</v>
      </c>
      <c r="F29" s="8" t="s">
        <v>41</v>
      </c>
      <c r="G29" s="8" t="s">
        <v>43</v>
      </c>
      <c r="H29" s="8" t="s">
        <v>43</v>
      </c>
      <c r="I29" s="8" t="s">
        <v>43</v>
      </c>
      <c r="J29" s="8"/>
      <c r="R29" s="8"/>
    </row>
    <row r="30" ht="15.75" customHeight="1">
      <c r="A30" s="8">
        <v>29.0</v>
      </c>
      <c r="B30" s="8" t="s">
        <v>59</v>
      </c>
      <c r="C30" s="8" t="s">
        <v>60</v>
      </c>
      <c r="D30" s="10" t="s">
        <v>74</v>
      </c>
      <c r="E30" s="8" t="s">
        <v>40</v>
      </c>
      <c r="F30" s="8" t="s">
        <v>41</v>
      </c>
      <c r="G30" s="8" t="s">
        <v>43</v>
      </c>
      <c r="H30" s="8" t="s">
        <v>43</v>
      </c>
      <c r="I30" s="8" t="s">
        <v>43</v>
      </c>
      <c r="J30" s="8"/>
      <c r="R30" s="8"/>
    </row>
    <row r="31" ht="15.75" customHeight="1">
      <c r="A31" s="8">
        <v>30.0</v>
      </c>
      <c r="B31" s="8" t="s">
        <v>59</v>
      </c>
      <c r="C31" s="8" t="s">
        <v>60</v>
      </c>
      <c r="D31" s="10" t="s">
        <v>75</v>
      </c>
      <c r="E31" s="8" t="s">
        <v>40</v>
      </c>
      <c r="F31" s="8" t="s">
        <v>46</v>
      </c>
      <c r="G31" s="8" t="s">
        <v>43</v>
      </c>
      <c r="H31" s="8" t="s">
        <v>43</v>
      </c>
      <c r="I31" s="8" t="s">
        <v>43</v>
      </c>
      <c r="J31" s="8"/>
      <c r="R31" s="8"/>
    </row>
    <row r="32" ht="15.75" customHeight="1">
      <c r="A32" s="8">
        <v>31.0</v>
      </c>
      <c r="B32" s="8" t="s">
        <v>59</v>
      </c>
      <c r="C32" s="8" t="s">
        <v>60</v>
      </c>
      <c r="D32" s="10" t="s">
        <v>76</v>
      </c>
      <c r="E32" s="8" t="s">
        <v>40</v>
      </c>
      <c r="F32" s="8" t="s">
        <v>41</v>
      </c>
      <c r="G32" s="8" t="s">
        <v>43</v>
      </c>
      <c r="H32" s="8" t="s">
        <v>43</v>
      </c>
      <c r="I32" s="8" t="s">
        <v>43</v>
      </c>
      <c r="J32" s="8"/>
      <c r="R32" s="8"/>
    </row>
    <row r="33" ht="15.75" customHeight="1">
      <c r="A33" s="8">
        <v>32.0</v>
      </c>
      <c r="B33" s="8" t="s">
        <v>59</v>
      </c>
      <c r="C33" s="8" t="s">
        <v>60</v>
      </c>
      <c r="D33" s="10" t="s">
        <v>77</v>
      </c>
      <c r="E33" s="8" t="s">
        <v>40</v>
      </c>
      <c r="F33" s="8" t="s">
        <v>41</v>
      </c>
      <c r="G33" s="8" t="s">
        <v>43</v>
      </c>
      <c r="H33" s="8" t="s">
        <v>43</v>
      </c>
      <c r="I33" s="8" t="s">
        <v>43</v>
      </c>
      <c r="J33" s="8"/>
      <c r="R33" s="8"/>
    </row>
    <row r="34" ht="15.75" customHeight="1">
      <c r="A34" s="8">
        <v>33.0</v>
      </c>
      <c r="B34" s="8" t="s">
        <v>59</v>
      </c>
      <c r="C34" s="8" t="s">
        <v>60</v>
      </c>
      <c r="D34" s="10" t="s">
        <v>78</v>
      </c>
      <c r="E34" s="8" t="s">
        <v>40</v>
      </c>
      <c r="F34" s="8" t="s">
        <v>46</v>
      </c>
      <c r="G34" s="8" t="s">
        <v>43</v>
      </c>
      <c r="H34" s="8" t="s">
        <v>43</v>
      </c>
      <c r="I34" s="8" t="s">
        <v>43</v>
      </c>
      <c r="J34" s="8"/>
      <c r="R34" s="8"/>
    </row>
    <row r="35" ht="15.75" customHeight="1">
      <c r="A35" s="8">
        <v>34.0</v>
      </c>
      <c r="B35" s="8" t="s">
        <v>59</v>
      </c>
      <c r="C35" s="8" t="s">
        <v>60</v>
      </c>
      <c r="D35" s="10" t="s">
        <v>79</v>
      </c>
      <c r="E35" s="8" t="s">
        <v>40</v>
      </c>
      <c r="F35" s="8" t="s">
        <v>41</v>
      </c>
      <c r="G35" s="8" t="s">
        <v>43</v>
      </c>
      <c r="H35" s="8" t="s">
        <v>43</v>
      </c>
      <c r="I35" s="8" t="s">
        <v>43</v>
      </c>
      <c r="J35" s="8"/>
      <c r="R35" s="8"/>
    </row>
    <row r="36" ht="15.75" customHeight="1">
      <c r="A36" s="8">
        <v>35.0</v>
      </c>
      <c r="B36" s="8" t="s">
        <v>59</v>
      </c>
      <c r="C36" s="8" t="s">
        <v>60</v>
      </c>
      <c r="D36" s="10" t="s">
        <v>80</v>
      </c>
      <c r="E36" s="8" t="s">
        <v>40</v>
      </c>
      <c r="F36" s="8" t="s">
        <v>41</v>
      </c>
      <c r="G36" s="8" t="s">
        <v>43</v>
      </c>
      <c r="H36" s="8" t="s">
        <v>43</v>
      </c>
      <c r="I36" s="8" t="s">
        <v>43</v>
      </c>
      <c r="J36" s="8"/>
      <c r="R36" s="8"/>
    </row>
    <row r="37" ht="15.75" customHeight="1">
      <c r="A37" s="8">
        <v>36.0</v>
      </c>
      <c r="B37" s="8" t="s">
        <v>59</v>
      </c>
      <c r="C37" s="8" t="s">
        <v>60</v>
      </c>
      <c r="D37" s="10" t="s">
        <v>81</v>
      </c>
      <c r="E37" s="8" t="s">
        <v>40</v>
      </c>
      <c r="F37" s="8" t="s">
        <v>46</v>
      </c>
      <c r="G37" s="8" t="s">
        <v>43</v>
      </c>
      <c r="H37" s="8" t="s">
        <v>43</v>
      </c>
      <c r="I37" s="8" t="s">
        <v>43</v>
      </c>
      <c r="J37" s="8"/>
      <c r="R37" s="8"/>
    </row>
    <row r="38" ht="15.75" customHeight="1">
      <c r="A38" s="8">
        <v>37.0</v>
      </c>
      <c r="B38" s="8" t="s">
        <v>59</v>
      </c>
      <c r="C38" s="8" t="s">
        <v>60</v>
      </c>
      <c r="D38" s="10" t="s">
        <v>82</v>
      </c>
      <c r="E38" s="8" t="s">
        <v>40</v>
      </c>
      <c r="F38" s="8" t="s">
        <v>41</v>
      </c>
      <c r="G38" s="8" t="s">
        <v>43</v>
      </c>
      <c r="H38" s="8" t="s">
        <v>43</v>
      </c>
      <c r="I38" s="8" t="s">
        <v>43</v>
      </c>
      <c r="J38" s="8"/>
      <c r="R38" s="8"/>
    </row>
    <row r="39" ht="15.75" customHeight="1">
      <c r="A39" s="8">
        <v>38.0</v>
      </c>
      <c r="B39" s="8" t="s">
        <v>59</v>
      </c>
      <c r="C39" s="8" t="s">
        <v>60</v>
      </c>
      <c r="D39" s="10" t="s">
        <v>83</v>
      </c>
      <c r="E39" s="8" t="s">
        <v>40</v>
      </c>
      <c r="F39" s="8" t="s">
        <v>41</v>
      </c>
      <c r="G39" s="8" t="s">
        <v>43</v>
      </c>
      <c r="H39" s="8" t="s">
        <v>43</v>
      </c>
      <c r="I39" s="8" t="s">
        <v>43</v>
      </c>
      <c r="J39" s="8"/>
      <c r="R39" s="8"/>
    </row>
    <row r="40" ht="15.75" customHeight="1">
      <c r="A40" s="8">
        <v>39.0</v>
      </c>
      <c r="B40" s="8" t="s">
        <v>59</v>
      </c>
      <c r="C40" s="8" t="s">
        <v>60</v>
      </c>
      <c r="D40" s="10" t="s">
        <v>84</v>
      </c>
      <c r="E40" s="8" t="s">
        <v>40</v>
      </c>
      <c r="F40" s="8" t="s">
        <v>46</v>
      </c>
      <c r="G40" s="8" t="s">
        <v>43</v>
      </c>
      <c r="H40" s="8" t="s">
        <v>43</v>
      </c>
      <c r="I40" s="8" t="s">
        <v>43</v>
      </c>
      <c r="J40" s="8"/>
      <c r="R40" s="8"/>
    </row>
    <row r="41" ht="15.75" customHeight="1">
      <c r="A41" s="8">
        <v>40.0</v>
      </c>
      <c r="B41" s="8" t="s">
        <v>59</v>
      </c>
      <c r="C41" s="8" t="s">
        <v>60</v>
      </c>
      <c r="D41" s="10" t="s">
        <v>85</v>
      </c>
      <c r="E41" s="8" t="s">
        <v>40</v>
      </c>
      <c r="F41" s="8" t="s">
        <v>41</v>
      </c>
      <c r="G41" s="8" t="s">
        <v>43</v>
      </c>
      <c r="H41" s="8" t="s">
        <v>43</v>
      </c>
      <c r="I41" s="8" t="s">
        <v>43</v>
      </c>
      <c r="J41" s="8"/>
      <c r="R41" s="8"/>
    </row>
    <row r="42" ht="15.75" customHeight="1">
      <c r="A42" s="8">
        <v>41.0</v>
      </c>
      <c r="B42" s="8" t="s">
        <v>59</v>
      </c>
      <c r="C42" s="8" t="s">
        <v>60</v>
      </c>
      <c r="D42" s="10" t="s">
        <v>86</v>
      </c>
      <c r="E42" s="8" t="s">
        <v>40</v>
      </c>
      <c r="F42" s="8" t="s">
        <v>41</v>
      </c>
      <c r="G42" s="8" t="s">
        <v>43</v>
      </c>
      <c r="H42" s="8" t="s">
        <v>43</v>
      </c>
      <c r="I42" s="8" t="s">
        <v>43</v>
      </c>
      <c r="J42" s="8"/>
      <c r="R42" s="8"/>
    </row>
    <row r="43" ht="15.75" customHeight="1">
      <c r="A43" s="8">
        <v>42.0</v>
      </c>
      <c r="B43" s="8" t="s">
        <v>59</v>
      </c>
      <c r="C43" s="8" t="s">
        <v>60</v>
      </c>
      <c r="D43" s="10" t="s">
        <v>87</v>
      </c>
      <c r="E43" s="8" t="s">
        <v>40</v>
      </c>
      <c r="F43" s="8" t="s">
        <v>46</v>
      </c>
      <c r="G43" s="8" t="s">
        <v>43</v>
      </c>
      <c r="H43" s="8" t="s">
        <v>43</v>
      </c>
      <c r="I43" s="8" t="s">
        <v>43</v>
      </c>
      <c r="J43" s="8"/>
      <c r="R43" s="8"/>
    </row>
    <row r="44" ht="15.75" customHeight="1">
      <c r="A44" s="8">
        <v>43.0</v>
      </c>
      <c r="B44" s="8" t="s">
        <v>59</v>
      </c>
      <c r="C44" s="8" t="s">
        <v>60</v>
      </c>
      <c r="D44" s="10" t="s">
        <v>88</v>
      </c>
      <c r="E44" s="8" t="s">
        <v>40</v>
      </c>
      <c r="F44" s="8" t="s">
        <v>41</v>
      </c>
      <c r="G44" s="8" t="s">
        <v>43</v>
      </c>
      <c r="H44" s="8" t="s">
        <v>43</v>
      </c>
      <c r="I44" s="8" t="s">
        <v>43</v>
      </c>
      <c r="J44" s="8"/>
      <c r="R44" s="8"/>
    </row>
    <row r="45" ht="15.75" customHeight="1">
      <c r="A45" s="8">
        <v>44.0</v>
      </c>
      <c r="B45" s="8" t="s">
        <v>59</v>
      </c>
      <c r="C45" s="8" t="s">
        <v>60</v>
      </c>
      <c r="D45" s="10" t="s">
        <v>89</v>
      </c>
      <c r="E45" s="8" t="s">
        <v>40</v>
      </c>
      <c r="F45" s="8" t="s">
        <v>41</v>
      </c>
      <c r="G45" s="8" t="s">
        <v>43</v>
      </c>
      <c r="H45" s="8" t="s">
        <v>43</v>
      </c>
      <c r="I45" s="8" t="s">
        <v>43</v>
      </c>
      <c r="J45" s="8"/>
      <c r="R45" s="8"/>
    </row>
    <row r="46" ht="15.75" customHeight="1">
      <c r="A46" s="8">
        <v>45.0</v>
      </c>
      <c r="B46" s="8" t="s">
        <v>59</v>
      </c>
      <c r="C46" s="8" t="s">
        <v>60</v>
      </c>
      <c r="D46" s="10" t="s">
        <v>90</v>
      </c>
      <c r="E46" s="8" t="s">
        <v>40</v>
      </c>
      <c r="F46" s="8" t="s">
        <v>46</v>
      </c>
      <c r="G46" s="8" t="s">
        <v>43</v>
      </c>
      <c r="H46" s="8" t="s">
        <v>43</v>
      </c>
      <c r="I46" s="8" t="s">
        <v>43</v>
      </c>
      <c r="J46" s="8"/>
      <c r="R46" s="8"/>
    </row>
    <row r="47" ht="15.75" customHeight="1">
      <c r="A47" s="8">
        <v>46.0</v>
      </c>
      <c r="B47" s="8" t="s">
        <v>59</v>
      </c>
      <c r="C47" s="8" t="s">
        <v>60</v>
      </c>
      <c r="D47" s="10" t="s">
        <v>91</v>
      </c>
      <c r="E47" s="8" t="s">
        <v>40</v>
      </c>
      <c r="F47" s="8" t="s">
        <v>41</v>
      </c>
      <c r="G47" s="8" t="s">
        <v>43</v>
      </c>
      <c r="H47" s="8" t="s">
        <v>43</v>
      </c>
      <c r="I47" s="8" t="s">
        <v>43</v>
      </c>
      <c r="J47" s="8"/>
      <c r="R47" s="8"/>
    </row>
    <row r="48" ht="15.75" customHeight="1">
      <c r="A48" s="8">
        <v>47.0</v>
      </c>
      <c r="B48" s="8" t="s">
        <v>59</v>
      </c>
      <c r="C48" s="8" t="s">
        <v>60</v>
      </c>
      <c r="D48" s="10" t="s">
        <v>92</v>
      </c>
      <c r="E48" s="8" t="s">
        <v>40</v>
      </c>
      <c r="F48" s="8" t="s">
        <v>41</v>
      </c>
      <c r="G48" s="8" t="s">
        <v>43</v>
      </c>
      <c r="H48" s="8" t="s">
        <v>43</v>
      </c>
      <c r="I48" s="8" t="s">
        <v>43</v>
      </c>
      <c r="J48" s="8"/>
      <c r="R48" s="8"/>
    </row>
    <row r="49" ht="15.75" customHeight="1">
      <c r="A49" s="8">
        <v>48.0</v>
      </c>
      <c r="B49" s="8" t="s">
        <v>59</v>
      </c>
      <c r="C49" s="8" t="s">
        <v>60</v>
      </c>
      <c r="D49" s="10" t="s">
        <v>93</v>
      </c>
      <c r="E49" s="8" t="s">
        <v>40</v>
      </c>
      <c r="F49" s="8" t="s">
        <v>46</v>
      </c>
      <c r="G49" s="8" t="s">
        <v>43</v>
      </c>
      <c r="H49" s="8" t="s">
        <v>43</v>
      </c>
      <c r="I49" s="8" t="s">
        <v>43</v>
      </c>
      <c r="J49" s="8"/>
      <c r="R49" s="8"/>
    </row>
    <row r="50" ht="15.75" customHeight="1">
      <c r="A50" s="8">
        <v>49.0</v>
      </c>
      <c r="B50" s="8" t="s">
        <v>59</v>
      </c>
      <c r="C50" s="8" t="s">
        <v>60</v>
      </c>
      <c r="D50" s="10" t="s">
        <v>94</v>
      </c>
      <c r="E50" s="8" t="s">
        <v>40</v>
      </c>
      <c r="F50" s="8" t="s">
        <v>41</v>
      </c>
      <c r="G50" s="8" t="s">
        <v>43</v>
      </c>
      <c r="H50" s="8" t="s">
        <v>43</v>
      </c>
      <c r="I50" s="8" t="s">
        <v>43</v>
      </c>
      <c r="J50" s="8"/>
      <c r="R50" s="8"/>
    </row>
    <row r="51" ht="15.75" customHeight="1">
      <c r="A51" s="8">
        <v>50.0</v>
      </c>
      <c r="B51" s="8" t="s">
        <v>59</v>
      </c>
      <c r="C51" s="8" t="s">
        <v>60</v>
      </c>
      <c r="D51" s="10" t="s">
        <v>95</v>
      </c>
      <c r="E51" s="8" t="s">
        <v>40</v>
      </c>
      <c r="F51" s="8" t="s">
        <v>41</v>
      </c>
      <c r="G51" s="8" t="s">
        <v>43</v>
      </c>
      <c r="H51" s="8" t="s">
        <v>43</v>
      </c>
      <c r="I51" s="8" t="s">
        <v>43</v>
      </c>
      <c r="J51" s="8"/>
      <c r="R51" s="8"/>
    </row>
    <row r="52" ht="15.75" customHeight="1">
      <c r="A52" s="8">
        <v>51.0</v>
      </c>
      <c r="B52" s="8" t="s">
        <v>59</v>
      </c>
      <c r="C52" s="8" t="s">
        <v>60</v>
      </c>
      <c r="D52" s="10" t="s">
        <v>96</v>
      </c>
      <c r="E52" s="8" t="s">
        <v>40</v>
      </c>
      <c r="F52" s="8" t="s">
        <v>46</v>
      </c>
      <c r="G52" s="8" t="s">
        <v>43</v>
      </c>
      <c r="H52" s="8" t="s">
        <v>43</v>
      </c>
      <c r="I52" s="8" t="s">
        <v>43</v>
      </c>
      <c r="J52" s="8"/>
      <c r="R52" s="8"/>
    </row>
    <row r="53" ht="15.75" customHeight="1">
      <c r="A53" s="8">
        <v>52.0</v>
      </c>
      <c r="B53" s="8" t="s">
        <v>59</v>
      </c>
      <c r="C53" s="8" t="s">
        <v>60</v>
      </c>
      <c r="D53" s="10" t="s">
        <v>97</v>
      </c>
      <c r="E53" s="8" t="s">
        <v>40</v>
      </c>
      <c r="F53" s="8" t="s">
        <v>41</v>
      </c>
      <c r="G53" s="8" t="s">
        <v>43</v>
      </c>
      <c r="H53" s="8" t="s">
        <v>43</v>
      </c>
      <c r="I53" s="8" t="s">
        <v>43</v>
      </c>
      <c r="J53" s="8"/>
      <c r="R53" s="8"/>
    </row>
    <row r="54" ht="15.75" customHeight="1">
      <c r="A54" s="8">
        <v>53.0</v>
      </c>
      <c r="B54" s="8" t="s">
        <v>59</v>
      </c>
      <c r="C54" s="8" t="s">
        <v>60</v>
      </c>
      <c r="D54" s="10" t="s">
        <v>98</v>
      </c>
      <c r="E54" s="8" t="s">
        <v>40</v>
      </c>
      <c r="F54" s="8" t="s">
        <v>41</v>
      </c>
      <c r="G54" s="8" t="s">
        <v>43</v>
      </c>
      <c r="H54" s="8" t="s">
        <v>43</v>
      </c>
      <c r="I54" s="8" t="s">
        <v>43</v>
      </c>
      <c r="J54" s="8"/>
      <c r="R54" s="8"/>
    </row>
    <row r="55" ht="15.75" customHeight="1">
      <c r="A55" s="8">
        <v>54.0</v>
      </c>
      <c r="B55" s="8" t="s">
        <v>59</v>
      </c>
      <c r="C55" s="8" t="s">
        <v>60</v>
      </c>
      <c r="D55" s="10" t="s">
        <v>99</v>
      </c>
      <c r="E55" s="8" t="s">
        <v>40</v>
      </c>
      <c r="F55" s="8" t="s">
        <v>46</v>
      </c>
      <c r="G55" s="8" t="s">
        <v>43</v>
      </c>
      <c r="H55" s="8" t="s">
        <v>43</v>
      </c>
      <c r="I55" s="8" t="s">
        <v>43</v>
      </c>
      <c r="J55" s="8"/>
      <c r="R55" s="8"/>
    </row>
    <row r="56" ht="15.75" customHeight="1">
      <c r="A56" s="8">
        <v>55.0</v>
      </c>
      <c r="B56" s="8" t="s">
        <v>59</v>
      </c>
      <c r="C56" s="8" t="s">
        <v>60</v>
      </c>
      <c r="D56" s="10" t="s">
        <v>100</v>
      </c>
      <c r="E56" s="8" t="s">
        <v>40</v>
      </c>
      <c r="F56" s="8" t="s">
        <v>41</v>
      </c>
      <c r="G56" s="8" t="s">
        <v>43</v>
      </c>
      <c r="H56" s="8" t="s">
        <v>43</v>
      </c>
      <c r="I56" s="8" t="s">
        <v>43</v>
      </c>
      <c r="J56" s="8"/>
      <c r="R56" s="8"/>
    </row>
    <row r="57" ht="15.75" customHeight="1">
      <c r="A57" s="8">
        <v>56.0</v>
      </c>
      <c r="B57" s="8" t="s">
        <v>101</v>
      </c>
      <c r="C57" s="8" t="s">
        <v>101</v>
      </c>
      <c r="D57" s="10" t="s">
        <v>102</v>
      </c>
      <c r="E57" s="8" t="s">
        <v>40</v>
      </c>
      <c r="F57" s="8" t="s">
        <v>41</v>
      </c>
      <c r="G57" s="8" t="s">
        <v>43</v>
      </c>
      <c r="H57" s="8" t="s">
        <v>43</v>
      </c>
      <c r="I57" s="8" t="s">
        <v>43</v>
      </c>
      <c r="J57" s="8"/>
      <c r="R57" s="8"/>
    </row>
    <row r="58" ht="15.75" customHeight="1">
      <c r="A58" s="8">
        <v>57.0</v>
      </c>
      <c r="B58" s="8" t="s">
        <v>101</v>
      </c>
      <c r="C58" s="8" t="s">
        <v>101</v>
      </c>
      <c r="D58" s="10" t="s">
        <v>103</v>
      </c>
      <c r="E58" s="8" t="s">
        <v>40</v>
      </c>
      <c r="F58" s="8" t="s">
        <v>46</v>
      </c>
      <c r="G58" s="8" t="s">
        <v>43</v>
      </c>
      <c r="H58" s="8" t="s">
        <v>43</v>
      </c>
      <c r="I58" s="8" t="s">
        <v>43</v>
      </c>
      <c r="J58" s="8"/>
      <c r="R58" s="8"/>
    </row>
    <row r="59" ht="15.75" customHeight="1">
      <c r="A59" s="8">
        <v>58.0</v>
      </c>
      <c r="B59" s="8" t="s">
        <v>101</v>
      </c>
      <c r="C59" s="8" t="s">
        <v>101</v>
      </c>
      <c r="D59" s="10" t="s">
        <v>104</v>
      </c>
      <c r="E59" s="8" t="s">
        <v>40</v>
      </c>
      <c r="F59" s="8" t="s">
        <v>41</v>
      </c>
      <c r="G59" s="8" t="s">
        <v>43</v>
      </c>
      <c r="H59" s="8" t="s">
        <v>43</v>
      </c>
      <c r="I59" s="8" t="s">
        <v>43</v>
      </c>
      <c r="J59" s="8"/>
      <c r="R59" s="8"/>
    </row>
    <row r="60" ht="15.75" customHeight="1">
      <c r="A60" s="8">
        <v>59.0</v>
      </c>
      <c r="B60" s="8" t="s">
        <v>101</v>
      </c>
      <c r="C60" s="8" t="s">
        <v>101</v>
      </c>
      <c r="D60" s="10" t="s">
        <v>105</v>
      </c>
      <c r="E60" s="8" t="s">
        <v>40</v>
      </c>
      <c r="F60" s="8" t="s">
        <v>41</v>
      </c>
      <c r="G60" s="8" t="s">
        <v>43</v>
      </c>
      <c r="H60" s="8" t="s">
        <v>43</v>
      </c>
      <c r="I60" s="8" t="s">
        <v>43</v>
      </c>
      <c r="J60" s="8"/>
      <c r="R60" s="8"/>
    </row>
    <row r="61" ht="15.75" customHeight="1">
      <c r="A61" s="8">
        <v>60.0</v>
      </c>
      <c r="B61" s="8" t="s">
        <v>101</v>
      </c>
      <c r="C61" s="8" t="s">
        <v>101</v>
      </c>
      <c r="D61" s="10" t="s">
        <v>106</v>
      </c>
      <c r="E61" s="8" t="s">
        <v>40</v>
      </c>
      <c r="F61" s="8" t="s">
        <v>46</v>
      </c>
      <c r="G61" s="8" t="s">
        <v>43</v>
      </c>
      <c r="H61" s="8" t="s">
        <v>43</v>
      </c>
      <c r="I61" s="8" t="s">
        <v>43</v>
      </c>
      <c r="J61" s="8"/>
      <c r="R61" s="8"/>
    </row>
    <row r="62" ht="15.75" customHeight="1">
      <c r="A62" s="8">
        <v>61.0</v>
      </c>
      <c r="B62" s="8" t="s">
        <v>101</v>
      </c>
      <c r="C62" s="8" t="s">
        <v>101</v>
      </c>
      <c r="D62" s="10" t="s">
        <v>107</v>
      </c>
      <c r="E62" s="8" t="s">
        <v>40</v>
      </c>
      <c r="F62" s="8" t="s">
        <v>41</v>
      </c>
      <c r="G62" s="8" t="s">
        <v>43</v>
      </c>
      <c r="H62" s="8" t="s">
        <v>43</v>
      </c>
      <c r="I62" s="8" t="s">
        <v>43</v>
      </c>
      <c r="J62" s="8"/>
      <c r="R62" s="8"/>
    </row>
    <row r="63" ht="15.75" customHeight="1">
      <c r="A63" s="8">
        <v>62.0</v>
      </c>
      <c r="B63" s="8" t="s">
        <v>101</v>
      </c>
      <c r="C63" s="8" t="s">
        <v>101</v>
      </c>
      <c r="D63" s="10" t="s">
        <v>108</v>
      </c>
      <c r="E63" s="8" t="s">
        <v>40</v>
      </c>
      <c r="F63" s="8" t="s">
        <v>41</v>
      </c>
      <c r="G63" s="8" t="s">
        <v>43</v>
      </c>
      <c r="H63" s="8" t="s">
        <v>43</v>
      </c>
      <c r="I63" s="8" t="s">
        <v>43</v>
      </c>
      <c r="J63" s="8"/>
      <c r="R63" s="8"/>
    </row>
    <row r="64" ht="15.75" customHeight="1">
      <c r="A64" s="8">
        <v>63.0</v>
      </c>
      <c r="B64" s="8" t="s">
        <v>101</v>
      </c>
      <c r="C64" s="8" t="s">
        <v>101</v>
      </c>
      <c r="D64" s="10" t="s">
        <v>109</v>
      </c>
      <c r="E64" s="8" t="s">
        <v>40</v>
      </c>
      <c r="F64" s="8" t="s">
        <v>46</v>
      </c>
      <c r="G64" s="8" t="s">
        <v>43</v>
      </c>
      <c r="H64" s="8" t="s">
        <v>43</v>
      </c>
      <c r="I64" s="8" t="s">
        <v>43</v>
      </c>
      <c r="J64" s="8"/>
      <c r="R64" s="8"/>
    </row>
    <row r="65" ht="15.75" customHeight="1">
      <c r="A65" s="8">
        <v>64.0</v>
      </c>
      <c r="B65" s="8" t="s">
        <v>101</v>
      </c>
      <c r="C65" s="8" t="s">
        <v>101</v>
      </c>
      <c r="D65" s="10" t="s">
        <v>110</v>
      </c>
      <c r="E65" s="8" t="s">
        <v>40</v>
      </c>
      <c r="F65" s="8" t="s">
        <v>41</v>
      </c>
      <c r="G65" s="8" t="s">
        <v>43</v>
      </c>
      <c r="H65" s="8" t="s">
        <v>43</v>
      </c>
      <c r="I65" s="8" t="s">
        <v>43</v>
      </c>
      <c r="J65" s="8"/>
      <c r="R65" s="8"/>
    </row>
    <row r="66" ht="15.75" customHeight="1">
      <c r="A66" s="8">
        <v>65.0</v>
      </c>
      <c r="B66" s="8" t="s">
        <v>101</v>
      </c>
      <c r="C66" s="8" t="s">
        <v>101</v>
      </c>
      <c r="D66" s="10" t="s">
        <v>111</v>
      </c>
      <c r="E66" s="8" t="s">
        <v>40</v>
      </c>
      <c r="F66" s="8" t="s">
        <v>41</v>
      </c>
      <c r="G66" s="8" t="s">
        <v>43</v>
      </c>
      <c r="H66" s="8" t="s">
        <v>43</v>
      </c>
      <c r="I66" s="8" t="s">
        <v>43</v>
      </c>
      <c r="J66" s="8"/>
      <c r="R66" s="8"/>
    </row>
    <row r="67" ht="15.75" customHeight="1">
      <c r="A67" s="8">
        <v>66.0</v>
      </c>
      <c r="B67" s="8" t="s">
        <v>101</v>
      </c>
      <c r="C67" s="8" t="s">
        <v>101</v>
      </c>
      <c r="D67" s="10" t="s">
        <v>112</v>
      </c>
      <c r="E67" s="8" t="s">
        <v>40</v>
      </c>
      <c r="F67" s="8" t="s">
        <v>46</v>
      </c>
      <c r="G67" s="8" t="s">
        <v>43</v>
      </c>
      <c r="H67" s="8" t="s">
        <v>43</v>
      </c>
      <c r="I67" s="8" t="s">
        <v>43</v>
      </c>
      <c r="J67" s="8"/>
      <c r="R67" s="8"/>
    </row>
    <row r="68" ht="15.75" customHeight="1">
      <c r="A68" s="8">
        <v>67.0</v>
      </c>
      <c r="B68" s="8" t="s">
        <v>101</v>
      </c>
      <c r="C68" s="8" t="s">
        <v>101</v>
      </c>
      <c r="D68" s="10" t="s">
        <v>113</v>
      </c>
      <c r="E68" s="8" t="s">
        <v>40</v>
      </c>
      <c r="F68" s="8" t="s">
        <v>41</v>
      </c>
      <c r="G68" s="8" t="s">
        <v>43</v>
      </c>
      <c r="H68" s="8" t="s">
        <v>43</v>
      </c>
      <c r="I68" s="8" t="s">
        <v>43</v>
      </c>
      <c r="J68" s="8"/>
      <c r="R68" s="8"/>
    </row>
    <row r="69" ht="15.75" customHeight="1">
      <c r="A69" s="8">
        <v>68.0</v>
      </c>
      <c r="B69" s="8" t="s">
        <v>101</v>
      </c>
      <c r="C69" s="8" t="s">
        <v>101</v>
      </c>
      <c r="D69" s="10" t="s">
        <v>114</v>
      </c>
      <c r="E69" s="8" t="s">
        <v>40</v>
      </c>
      <c r="F69" s="8" t="s">
        <v>41</v>
      </c>
      <c r="G69" s="8" t="s">
        <v>43</v>
      </c>
      <c r="H69" s="8" t="s">
        <v>43</v>
      </c>
      <c r="I69" s="8" t="s">
        <v>43</v>
      </c>
      <c r="J69" s="8"/>
      <c r="R69" s="8"/>
    </row>
    <row r="70" ht="15.75" customHeight="1">
      <c r="A70" s="8">
        <v>69.0</v>
      </c>
      <c r="B70" s="8" t="s">
        <v>101</v>
      </c>
      <c r="C70" s="8" t="s">
        <v>101</v>
      </c>
      <c r="D70" s="10" t="s">
        <v>115</v>
      </c>
      <c r="E70" s="8" t="s">
        <v>40</v>
      </c>
      <c r="F70" s="8" t="s">
        <v>46</v>
      </c>
      <c r="G70" s="8" t="s">
        <v>43</v>
      </c>
      <c r="H70" s="8" t="s">
        <v>43</v>
      </c>
      <c r="I70" s="8" t="s">
        <v>43</v>
      </c>
      <c r="J70" s="8"/>
      <c r="R70" s="8"/>
    </row>
    <row r="71" ht="15.75" customHeight="1">
      <c r="A71" s="8">
        <v>70.0</v>
      </c>
      <c r="B71" s="8" t="s">
        <v>101</v>
      </c>
      <c r="C71" s="8" t="s">
        <v>101</v>
      </c>
      <c r="D71" s="10" t="s">
        <v>116</v>
      </c>
      <c r="E71" s="8" t="s">
        <v>40</v>
      </c>
      <c r="F71" s="8" t="s">
        <v>41</v>
      </c>
      <c r="G71" s="8" t="s">
        <v>43</v>
      </c>
      <c r="H71" s="8" t="s">
        <v>43</v>
      </c>
      <c r="I71" s="8" t="s">
        <v>43</v>
      </c>
      <c r="J71" s="8"/>
      <c r="R71" s="8"/>
    </row>
    <row r="72" ht="15.75" customHeight="1">
      <c r="A72" s="8">
        <v>71.0</v>
      </c>
      <c r="B72" s="8" t="s">
        <v>101</v>
      </c>
      <c r="C72" s="8" t="s">
        <v>101</v>
      </c>
      <c r="D72" s="10" t="s">
        <v>117</v>
      </c>
      <c r="E72" s="8" t="s">
        <v>40</v>
      </c>
      <c r="F72" s="8" t="s">
        <v>41</v>
      </c>
      <c r="G72" s="8" t="s">
        <v>43</v>
      </c>
      <c r="H72" s="8" t="s">
        <v>43</v>
      </c>
      <c r="I72" s="8" t="s">
        <v>43</v>
      </c>
      <c r="J72" s="8"/>
      <c r="R72" s="8"/>
    </row>
    <row r="73" ht="15.75" customHeight="1">
      <c r="A73" s="8">
        <v>72.0</v>
      </c>
      <c r="B73" s="8" t="s">
        <v>101</v>
      </c>
      <c r="C73" s="8" t="s">
        <v>101</v>
      </c>
      <c r="D73" s="10" t="s">
        <v>118</v>
      </c>
      <c r="E73" s="8" t="s">
        <v>40</v>
      </c>
      <c r="F73" s="8" t="s">
        <v>46</v>
      </c>
      <c r="G73" s="8" t="s">
        <v>43</v>
      </c>
      <c r="H73" s="8" t="s">
        <v>43</v>
      </c>
      <c r="I73" s="8" t="s">
        <v>43</v>
      </c>
      <c r="J73" s="8"/>
      <c r="R73" s="8"/>
    </row>
    <row r="74" ht="15.75" customHeight="1">
      <c r="A74" s="8">
        <v>73.0</v>
      </c>
      <c r="B74" s="8" t="s">
        <v>101</v>
      </c>
      <c r="C74" s="8" t="s">
        <v>101</v>
      </c>
      <c r="D74" s="10" t="s">
        <v>119</v>
      </c>
      <c r="E74" s="8" t="s">
        <v>40</v>
      </c>
      <c r="F74" s="8" t="s">
        <v>41</v>
      </c>
      <c r="G74" s="8" t="s">
        <v>43</v>
      </c>
      <c r="H74" s="8" t="s">
        <v>43</v>
      </c>
      <c r="I74" s="8" t="s">
        <v>43</v>
      </c>
      <c r="J74" s="8"/>
      <c r="R74" s="8"/>
    </row>
    <row r="75" ht="15.75" customHeight="1">
      <c r="A75" s="8">
        <v>74.0</v>
      </c>
      <c r="B75" s="8" t="s">
        <v>101</v>
      </c>
      <c r="C75" s="8" t="s">
        <v>101</v>
      </c>
      <c r="D75" s="10" t="s">
        <v>120</v>
      </c>
      <c r="E75" s="8" t="s">
        <v>40</v>
      </c>
      <c r="F75" s="8" t="s">
        <v>41</v>
      </c>
      <c r="G75" s="8" t="s">
        <v>43</v>
      </c>
      <c r="H75" s="8" t="s">
        <v>43</v>
      </c>
      <c r="I75" s="8" t="s">
        <v>43</v>
      </c>
      <c r="J75" s="8"/>
      <c r="R75" s="8"/>
    </row>
    <row r="76" ht="15.75" customHeight="1">
      <c r="A76" s="8">
        <v>75.0</v>
      </c>
      <c r="B76" s="8" t="s">
        <v>101</v>
      </c>
      <c r="C76" s="8" t="s">
        <v>101</v>
      </c>
      <c r="D76" s="10" t="s">
        <v>121</v>
      </c>
      <c r="E76" s="8" t="s">
        <v>40</v>
      </c>
      <c r="F76" s="8" t="s">
        <v>46</v>
      </c>
      <c r="G76" s="8" t="s">
        <v>43</v>
      </c>
      <c r="H76" s="8" t="s">
        <v>43</v>
      </c>
      <c r="I76" s="8" t="s">
        <v>43</v>
      </c>
      <c r="J76" s="8"/>
      <c r="R76" s="8"/>
    </row>
    <row r="77" ht="15.75" customHeight="1">
      <c r="A77" s="8">
        <v>76.0</v>
      </c>
      <c r="B77" s="8" t="s">
        <v>122</v>
      </c>
      <c r="C77" s="8" t="s">
        <v>122</v>
      </c>
      <c r="D77" s="10" t="s">
        <v>123</v>
      </c>
      <c r="E77" s="8" t="s">
        <v>40</v>
      </c>
      <c r="F77" s="8" t="s">
        <v>41</v>
      </c>
      <c r="G77" s="8" t="s">
        <v>43</v>
      </c>
      <c r="H77" s="8" t="s">
        <v>43</v>
      </c>
      <c r="I77" s="8" t="s">
        <v>43</v>
      </c>
      <c r="J77" s="8"/>
      <c r="R77" s="8"/>
    </row>
    <row r="78" ht="15.75" customHeight="1">
      <c r="A78" s="8">
        <v>77.0</v>
      </c>
      <c r="B78" s="8" t="s">
        <v>122</v>
      </c>
      <c r="C78" s="8" t="s">
        <v>122</v>
      </c>
      <c r="D78" s="10" t="s">
        <v>124</v>
      </c>
      <c r="E78" s="8" t="s">
        <v>40</v>
      </c>
      <c r="F78" s="8" t="s">
        <v>41</v>
      </c>
      <c r="G78" s="8" t="s">
        <v>43</v>
      </c>
      <c r="H78" s="8" t="s">
        <v>43</v>
      </c>
      <c r="I78" s="8" t="s">
        <v>43</v>
      </c>
      <c r="J78" s="8"/>
      <c r="R78" s="8"/>
    </row>
    <row r="79" ht="15.75" customHeight="1">
      <c r="A79" s="8">
        <v>78.0</v>
      </c>
      <c r="B79" s="8" t="s">
        <v>122</v>
      </c>
      <c r="C79" s="8" t="s">
        <v>122</v>
      </c>
      <c r="D79" s="10" t="s">
        <v>125</v>
      </c>
      <c r="E79" s="8" t="s">
        <v>40</v>
      </c>
      <c r="F79" s="8" t="s">
        <v>46</v>
      </c>
      <c r="G79" s="8" t="s">
        <v>43</v>
      </c>
      <c r="H79" s="8" t="s">
        <v>43</v>
      </c>
      <c r="I79" s="8" t="s">
        <v>43</v>
      </c>
      <c r="J79" s="8"/>
      <c r="R79" s="8"/>
    </row>
    <row r="80" ht="15.75" customHeight="1">
      <c r="A80" s="8">
        <v>79.0</v>
      </c>
      <c r="B80" s="8" t="s">
        <v>122</v>
      </c>
      <c r="C80" s="8" t="s">
        <v>122</v>
      </c>
      <c r="D80" s="10" t="s">
        <v>126</v>
      </c>
      <c r="E80" s="8" t="s">
        <v>40</v>
      </c>
      <c r="F80" s="8" t="s">
        <v>41</v>
      </c>
      <c r="G80" s="8" t="s">
        <v>43</v>
      </c>
      <c r="H80" s="8" t="s">
        <v>43</v>
      </c>
      <c r="I80" s="8" t="s">
        <v>43</v>
      </c>
      <c r="J80" s="8"/>
      <c r="R80" s="8"/>
    </row>
    <row r="81" ht="15.75" customHeight="1">
      <c r="A81" s="8">
        <v>80.0</v>
      </c>
      <c r="B81" s="8" t="s">
        <v>122</v>
      </c>
      <c r="C81" s="8" t="s">
        <v>122</v>
      </c>
      <c r="D81" s="10" t="s">
        <v>127</v>
      </c>
      <c r="E81" s="8" t="s">
        <v>40</v>
      </c>
      <c r="F81" s="8" t="s">
        <v>41</v>
      </c>
      <c r="G81" s="8" t="s">
        <v>43</v>
      </c>
      <c r="H81" s="8" t="s">
        <v>43</v>
      </c>
      <c r="I81" s="8" t="s">
        <v>43</v>
      </c>
      <c r="J81" s="8"/>
      <c r="R81" s="8"/>
    </row>
    <row r="82" ht="15.75" customHeight="1">
      <c r="A82" s="8">
        <v>81.0</v>
      </c>
      <c r="B82" s="8" t="s">
        <v>122</v>
      </c>
      <c r="C82" s="8" t="s">
        <v>122</v>
      </c>
      <c r="D82" s="10" t="s">
        <v>128</v>
      </c>
      <c r="E82" s="8" t="s">
        <v>40</v>
      </c>
      <c r="F82" s="8" t="s">
        <v>46</v>
      </c>
      <c r="G82" s="8" t="s">
        <v>43</v>
      </c>
      <c r="H82" s="8" t="s">
        <v>43</v>
      </c>
      <c r="I82" s="8" t="s">
        <v>43</v>
      </c>
      <c r="J82" s="8"/>
      <c r="R82" s="8"/>
    </row>
    <row r="83" ht="15.75" customHeight="1">
      <c r="A83" s="8">
        <v>82.0</v>
      </c>
      <c r="B83" s="8" t="s">
        <v>122</v>
      </c>
      <c r="C83" s="8" t="s">
        <v>122</v>
      </c>
      <c r="D83" s="10" t="s">
        <v>129</v>
      </c>
      <c r="E83" s="8" t="s">
        <v>40</v>
      </c>
      <c r="F83" s="8" t="s">
        <v>41</v>
      </c>
      <c r="G83" s="8" t="s">
        <v>43</v>
      </c>
      <c r="H83" s="8" t="s">
        <v>43</v>
      </c>
      <c r="I83" s="8" t="s">
        <v>43</v>
      </c>
      <c r="J83" s="8"/>
      <c r="R83" s="8"/>
    </row>
    <row r="84" ht="15.75" customHeight="1">
      <c r="A84" s="8">
        <v>83.0</v>
      </c>
      <c r="B84" s="8" t="s">
        <v>122</v>
      </c>
      <c r="C84" s="8" t="s">
        <v>122</v>
      </c>
      <c r="D84" s="10" t="s">
        <v>130</v>
      </c>
      <c r="E84" s="8" t="s">
        <v>40</v>
      </c>
      <c r="F84" s="8" t="s">
        <v>41</v>
      </c>
      <c r="G84" s="8" t="s">
        <v>43</v>
      </c>
      <c r="H84" s="8" t="s">
        <v>43</v>
      </c>
      <c r="I84" s="8" t="s">
        <v>43</v>
      </c>
      <c r="J84" s="8"/>
      <c r="R84" s="8"/>
    </row>
    <row r="85" ht="15.75" customHeight="1">
      <c r="A85" s="8">
        <v>84.0</v>
      </c>
      <c r="B85" s="8" t="s">
        <v>122</v>
      </c>
      <c r="C85" s="8" t="s">
        <v>122</v>
      </c>
      <c r="D85" s="10" t="s">
        <v>131</v>
      </c>
      <c r="E85" s="8" t="s">
        <v>40</v>
      </c>
      <c r="F85" s="8" t="s">
        <v>46</v>
      </c>
      <c r="G85" s="8" t="s">
        <v>43</v>
      </c>
      <c r="H85" s="8" t="s">
        <v>43</v>
      </c>
      <c r="I85" s="8" t="s">
        <v>43</v>
      </c>
      <c r="J85" s="8"/>
      <c r="R85" s="8"/>
    </row>
    <row r="86" ht="15.75" customHeight="1">
      <c r="A86" s="8">
        <v>85.0</v>
      </c>
      <c r="B86" s="8" t="s">
        <v>122</v>
      </c>
      <c r="C86" s="8" t="s">
        <v>122</v>
      </c>
      <c r="D86" s="10" t="s">
        <v>132</v>
      </c>
      <c r="E86" s="8" t="s">
        <v>40</v>
      </c>
      <c r="F86" s="8" t="s">
        <v>41</v>
      </c>
      <c r="G86" s="8" t="s">
        <v>43</v>
      </c>
      <c r="H86" s="8" t="s">
        <v>43</v>
      </c>
      <c r="I86" s="8" t="s">
        <v>43</v>
      </c>
      <c r="J86" s="8"/>
      <c r="R86" s="8"/>
    </row>
    <row r="87" ht="15.75" customHeight="1">
      <c r="A87" s="8">
        <v>86.0</v>
      </c>
      <c r="B87" s="8" t="s">
        <v>122</v>
      </c>
      <c r="C87" s="8" t="s">
        <v>122</v>
      </c>
      <c r="D87" s="10" t="s">
        <v>133</v>
      </c>
      <c r="E87" s="8" t="s">
        <v>40</v>
      </c>
      <c r="F87" s="8" t="s">
        <v>41</v>
      </c>
      <c r="G87" s="8" t="s">
        <v>43</v>
      </c>
      <c r="H87" s="8" t="s">
        <v>43</v>
      </c>
      <c r="I87" s="8" t="s">
        <v>43</v>
      </c>
      <c r="J87" s="8"/>
      <c r="R87" s="8"/>
    </row>
    <row r="88" ht="15.75" customHeight="1">
      <c r="A88" s="8">
        <v>87.0</v>
      </c>
      <c r="B88" s="8" t="s">
        <v>122</v>
      </c>
      <c r="C88" s="8" t="s">
        <v>122</v>
      </c>
      <c r="D88" s="10" t="s">
        <v>134</v>
      </c>
      <c r="E88" s="8" t="s">
        <v>40</v>
      </c>
      <c r="F88" s="8" t="s">
        <v>46</v>
      </c>
      <c r="G88" s="8" t="s">
        <v>43</v>
      </c>
      <c r="H88" s="8" t="s">
        <v>43</v>
      </c>
      <c r="I88" s="8" t="s">
        <v>43</v>
      </c>
      <c r="J88" s="8"/>
      <c r="R88" s="8"/>
    </row>
    <row r="89" ht="15.75" customHeight="1">
      <c r="A89" s="8">
        <v>88.0</v>
      </c>
      <c r="B89" s="8" t="s">
        <v>122</v>
      </c>
      <c r="C89" s="8" t="s">
        <v>122</v>
      </c>
      <c r="D89" s="10" t="s">
        <v>135</v>
      </c>
      <c r="E89" s="8" t="s">
        <v>40</v>
      </c>
      <c r="F89" s="8" t="s">
        <v>41</v>
      </c>
      <c r="G89" s="8" t="s">
        <v>43</v>
      </c>
      <c r="H89" s="8" t="s">
        <v>43</v>
      </c>
      <c r="I89" s="8" t="s">
        <v>43</v>
      </c>
      <c r="J89" s="8"/>
      <c r="R89" s="8"/>
    </row>
    <row r="90" ht="15.75" customHeight="1">
      <c r="A90" s="8">
        <v>89.0</v>
      </c>
      <c r="B90" s="8" t="s">
        <v>122</v>
      </c>
      <c r="C90" s="8" t="s">
        <v>122</v>
      </c>
      <c r="D90" s="10" t="s">
        <v>136</v>
      </c>
      <c r="E90" s="8" t="s">
        <v>40</v>
      </c>
      <c r="F90" s="8" t="s">
        <v>41</v>
      </c>
      <c r="G90" s="8" t="s">
        <v>43</v>
      </c>
      <c r="H90" s="8" t="s">
        <v>43</v>
      </c>
      <c r="I90" s="8" t="s">
        <v>43</v>
      </c>
      <c r="J90" s="8"/>
      <c r="R90" s="8"/>
    </row>
    <row r="91" ht="15.75" customHeight="1">
      <c r="A91" s="8">
        <v>90.0</v>
      </c>
      <c r="B91" s="8" t="s">
        <v>122</v>
      </c>
      <c r="C91" s="8" t="s">
        <v>122</v>
      </c>
      <c r="D91" s="10" t="s">
        <v>137</v>
      </c>
      <c r="E91" s="8" t="s">
        <v>40</v>
      </c>
      <c r="F91" s="8" t="s">
        <v>46</v>
      </c>
      <c r="G91" s="8" t="s">
        <v>43</v>
      </c>
      <c r="H91" s="8" t="s">
        <v>43</v>
      </c>
      <c r="I91" s="8" t="s">
        <v>43</v>
      </c>
      <c r="J91" s="8"/>
      <c r="R91" s="8"/>
    </row>
    <row r="92" ht="15.75" customHeight="1">
      <c r="A92" s="8">
        <v>91.0</v>
      </c>
      <c r="B92" s="8" t="s">
        <v>122</v>
      </c>
      <c r="C92" s="8" t="s">
        <v>122</v>
      </c>
      <c r="D92" s="10" t="s">
        <v>138</v>
      </c>
      <c r="E92" s="8" t="s">
        <v>40</v>
      </c>
      <c r="F92" s="8" t="s">
        <v>41</v>
      </c>
      <c r="G92" s="8" t="s">
        <v>43</v>
      </c>
      <c r="H92" s="8" t="s">
        <v>43</v>
      </c>
      <c r="I92" s="8" t="s">
        <v>43</v>
      </c>
      <c r="J92" s="8"/>
      <c r="R92" s="8"/>
    </row>
    <row r="93" ht="15.75" customHeight="1">
      <c r="A93" s="8">
        <v>92.0</v>
      </c>
      <c r="B93" s="8" t="s">
        <v>122</v>
      </c>
      <c r="C93" s="8" t="s">
        <v>122</v>
      </c>
      <c r="D93" s="10" t="s">
        <v>139</v>
      </c>
      <c r="E93" s="8" t="s">
        <v>40</v>
      </c>
      <c r="F93" s="8" t="s">
        <v>41</v>
      </c>
      <c r="G93" s="8" t="s">
        <v>43</v>
      </c>
      <c r="H93" s="8" t="s">
        <v>43</v>
      </c>
      <c r="I93" s="8" t="s">
        <v>43</v>
      </c>
      <c r="J93" s="8"/>
      <c r="R93" s="8"/>
    </row>
    <row r="94" ht="15.75" customHeight="1">
      <c r="A94" s="8">
        <v>93.0</v>
      </c>
      <c r="B94" s="8" t="s">
        <v>122</v>
      </c>
      <c r="C94" s="8" t="s">
        <v>122</v>
      </c>
      <c r="D94" s="10" t="s">
        <v>140</v>
      </c>
      <c r="E94" s="8" t="s">
        <v>40</v>
      </c>
      <c r="F94" s="8" t="s">
        <v>46</v>
      </c>
      <c r="G94" s="8" t="s">
        <v>43</v>
      </c>
      <c r="H94" s="8" t="s">
        <v>43</v>
      </c>
      <c r="I94" s="8" t="s">
        <v>43</v>
      </c>
      <c r="J94" s="8"/>
      <c r="R94" s="8"/>
    </row>
    <row r="95" ht="15.75" customHeight="1">
      <c r="A95" s="8">
        <v>94.0</v>
      </c>
      <c r="B95" s="8" t="s">
        <v>122</v>
      </c>
      <c r="C95" s="8" t="s">
        <v>122</v>
      </c>
      <c r="D95" s="10" t="s">
        <v>141</v>
      </c>
      <c r="E95" s="8" t="s">
        <v>40</v>
      </c>
      <c r="F95" s="8" t="s">
        <v>41</v>
      </c>
      <c r="G95" s="8" t="s">
        <v>43</v>
      </c>
      <c r="H95" s="8" t="s">
        <v>43</v>
      </c>
      <c r="I95" s="8" t="s">
        <v>43</v>
      </c>
      <c r="J95" s="8"/>
      <c r="R95" s="8"/>
    </row>
    <row r="96" ht="15.75" customHeight="1">
      <c r="A96" s="8">
        <v>95.0</v>
      </c>
      <c r="B96" s="8" t="s">
        <v>122</v>
      </c>
      <c r="C96" s="8" t="s">
        <v>122</v>
      </c>
      <c r="D96" s="10" t="s">
        <v>142</v>
      </c>
      <c r="E96" s="8" t="s">
        <v>40</v>
      </c>
      <c r="F96" s="8" t="s">
        <v>41</v>
      </c>
      <c r="G96" s="8" t="s">
        <v>43</v>
      </c>
      <c r="H96" s="8" t="s">
        <v>43</v>
      </c>
      <c r="I96" s="8" t="s">
        <v>43</v>
      </c>
      <c r="J96" s="8"/>
      <c r="R96" s="8"/>
    </row>
    <row r="97" ht="15.75" customHeight="1">
      <c r="A97" s="8">
        <v>96.0</v>
      </c>
      <c r="B97" s="8" t="s">
        <v>143</v>
      </c>
      <c r="C97" s="8" t="s">
        <v>144</v>
      </c>
      <c r="D97" s="10" t="s">
        <v>145</v>
      </c>
      <c r="E97" s="8" t="s">
        <v>40</v>
      </c>
      <c r="F97" s="8" t="s">
        <v>46</v>
      </c>
      <c r="G97" s="8" t="s">
        <v>43</v>
      </c>
      <c r="H97" s="8" t="s">
        <v>43</v>
      </c>
      <c r="I97" s="8" t="s">
        <v>43</v>
      </c>
      <c r="J97" s="8"/>
      <c r="R97" s="8"/>
    </row>
    <row r="98" ht="15.75" customHeight="1">
      <c r="A98" s="8">
        <v>97.0</v>
      </c>
      <c r="B98" s="8" t="s">
        <v>143</v>
      </c>
      <c r="C98" s="8" t="s">
        <v>144</v>
      </c>
      <c r="D98" s="10" t="s">
        <v>146</v>
      </c>
      <c r="E98" s="8" t="s">
        <v>40</v>
      </c>
      <c r="F98" s="8" t="s">
        <v>41</v>
      </c>
      <c r="G98" s="8" t="s">
        <v>43</v>
      </c>
      <c r="H98" s="8" t="s">
        <v>43</v>
      </c>
      <c r="I98" s="8" t="s">
        <v>43</v>
      </c>
      <c r="J98" s="8"/>
      <c r="R98" s="8"/>
    </row>
    <row r="99" ht="15.75" customHeight="1">
      <c r="A99" s="8">
        <v>98.0</v>
      </c>
      <c r="B99" s="8" t="s">
        <v>143</v>
      </c>
      <c r="C99" s="8" t="s">
        <v>144</v>
      </c>
      <c r="D99" s="10" t="s">
        <v>147</v>
      </c>
      <c r="E99" s="8" t="s">
        <v>40</v>
      </c>
      <c r="F99" s="8" t="s">
        <v>41</v>
      </c>
      <c r="G99" s="8" t="s">
        <v>43</v>
      </c>
      <c r="H99" s="8" t="s">
        <v>43</v>
      </c>
      <c r="I99" s="8" t="s">
        <v>43</v>
      </c>
      <c r="J99" s="8"/>
      <c r="R99" s="8"/>
    </row>
    <row r="100" ht="15.75" customHeight="1">
      <c r="A100" s="8">
        <v>99.0</v>
      </c>
      <c r="B100" s="8" t="s">
        <v>143</v>
      </c>
      <c r="C100" s="8" t="s">
        <v>144</v>
      </c>
      <c r="D100" s="10" t="s">
        <v>148</v>
      </c>
      <c r="E100" s="8" t="s">
        <v>40</v>
      </c>
      <c r="F100" s="8" t="s">
        <v>46</v>
      </c>
      <c r="G100" s="8" t="s">
        <v>43</v>
      </c>
      <c r="H100" s="8" t="s">
        <v>43</v>
      </c>
      <c r="I100" s="8" t="s">
        <v>43</v>
      </c>
      <c r="J100" s="8"/>
      <c r="R100" s="8"/>
    </row>
    <row r="101" ht="15.75" customHeight="1">
      <c r="A101" s="8">
        <v>100.0</v>
      </c>
      <c r="B101" s="8" t="s">
        <v>143</v>
      </c>
      <c r="C101" s="8" t="s">
        <v>144</v>
      </c>
      <c r="D101" s="10" t="s">
        <v>149</v>
      </c>
      <c r="E101" s="8" t="s">
        <v>40</v>
      </c>
      <c r="F101" s="8" t="s">
        <v>41</v>
      </c>
      <c r="G101" s="8" t="s">
        <v>43</v>
      </c>
      <c r="H101" s="8" t="s">
        <v>43</v>
      </c>
      <c r="I101" s="8" t="s">
        <v>43</v>
      </c>
      <c r="J101" s="8"/>
      <c r="R101" s="8"/>
    </row>
    <row r="102" ht="15.75" customHeight="1">
      <c r="A102" s="8">
        <v>101.0</v>
      </c>
      <c r="B102" s="8" t="s">
        <v>143</v>
      </c>
      <c r="C102" s="8" t="s">
        <v>144</v>
      </c>
      <c r="D102" s="10" t="s">
        <v>150</v>
      </c>
      <c r="E102" s="8" t="s">
        <v>40</v>
      </c>
      <c r="F102" s="8" t="s">
        <v>41</v>
      </c>
      <c r="G102" s="8" t="s">
        <v>43</v>
      </c>
      <c r="H102" s="8" t="s">
        <v>43</v>
      </c>
      <c r="I102" s="8" t="s">
        <v>43</v>
      </c>
      <c r="J102" s="8"/>
      <c r="R102" s="8"/>
    </row>
    <row r="103" ht="15.75" customHeight="1">
      <c r="A103" s="8">
        <v>102.0</v>
      </c>
      <c r="B103" s="8" t="s">
        <v>143</v>
      </c>
      <c r="C103" s="8" t="s">
        <v>144</v>
      </c>
      <c r="D103" s="10" t="s">
        <v>151</v>
      </c>
      <c r="E103" s="8" t="s">
        <v>40</v>
      </c>
      <c r="F103" s="8" t="s">
        <v>46</v>
      </c>
      <c r="G103" s="8" t="s">
        <v>43</v>
      </c>
      <c r="H103" s="8" t="s">
        <v>43</v>
      </c>
      <c r="I103" s="8" t="s">
        <v>43</v>
      </c>
      <c r="J103" s="8"/>
      <c r="R103" s="8"/>
    </row>
    <row r="104" ht="15.75" customHeight="1">
      <c r="A104" s="8">
        <v>103.0</v>
      </c>
      <c r="B104" s="8" t="s">
        <v>143</v>
      </c>
      <c r="C104" s="8" t="s">
        <v>144</v>
      </c>
      <c r="D104" s="10" t="s">
        <v>152</v>
      </c>
      <c r="E104" s="8" t="s">
        <v>40</v>
      </c>
      <c r="F104" s="8" t="s">
        <v>41</v>
      </c>
      <c r="G104" s="8" t="s">
        <v>43</v>
      </c>
      <c r="H104" s="8" t="s">
        <v>43</v>
      </c>
      <c r="I104" s="8" t="s">
        <v>43</v>
      </c>
      <c r="J104" s="8"/>
      <c r="R104" s="8"/>
    </row>
    <row r="105" ht="15.75" customHeight="1">
      <c r="A105" s="8">
        <v>104.0</v>
      </c>
      <c r="B105" s="8" t="s">
        <v>143</v>
      </c>
      <c r="C105" s="8" t="s">
        <v>144</v>
      </c>
      <c r="D105" s="10" t="s">
        <v>153</v>
      </c>
      <c r="E105" s="8" t="s">
        <v>40</v>
      </c>
      <c r="F105" s="8" t="s">
        <v>41</v>
      </c>
      <c r="G105" s="8" t="s">
        <v>43</v>
      </c>
      <c r="H105" s="8" t="s">
        <v>43</v>
      </c>
      <c r="I105" s="8" t="s">
        <v>43</v>
      </c>
      <c r="J105" s="8"/>
      <c r="R105" s="8"/>
    </row>
    <row r="106" ht="15.75" customHeight="1">
      <c r="A106" s="8">
        <v>105.0</v>
      </c>
      <c r="B106" s="8" t="s">
        <v>143</v>
      </c>
      <c r="C106" s="8" t="s">
        <v>144</v>
      </c>
      <c r="D106" s="10" t="s">
        <v>154</v>
      </c>
      <c r="E106" s="8" t="s">
        <v>40</v>
      </c>
      <c r="F106" s="8" t="s">
        <v>46</v>
      </c>
      <c r="G106" s="8" t="s">
        <v>43</v>
      </c>
      <c r="H106" s="8" t="s">
        <v>43</v>
      </c>
      <c r="I106" s="8" t="s">
        <v>43</v>
      </c>
      <c r="J106" s="8"/>
      <c r="R106" s="8"/>
    </row>
    <row r="107" ht="15.75" customHeight="1">
      <c r="A107" s="8">
        <v>106.0</v>
      </c>
      <c r="B107" s="8" t="s">
        <v>143</v>
      </c>
      <c r="C107" s="8" t="s">
        <v>144</v>
      </c>
      <c r="D107" s="10" t="s">
        <v>155</v>
      </c>
      <c r="E107" s="8" t="s">
        <v>40</v>
      </c>
      <c r="F107" s="8" t="s">
        <v>41</v>
      </c>
      <c r="G107" s="8" t="s">
        <v>43</v>
      </c>
      <c r="H107" s="8" t="s">
        <v>43</v>
      </c>
      <c r="I107" s="8" t="s">
        <v>43</v>
      </c>
      <c r="J107" s="8"/>
      <c r="R107" s="8"/>
    </row>
    <row r="108" ht="15.75" customHeight="1">
      <c r="A108" s="8">
        <v>107.0</v>
      </c>
      <c r="B108" s="8" t="s">
        <v>143</v>
      </c>
      <c r="C108" s="8" t="s">
        <v>144</v>
      </c>
      <c r="D108" s="10" t="s">
        <v>156</v>
      </c>
      <c r="E108" s="8" t="s">
        <v>40</v>
      </c>
      <c r="F108" s="8" t="s">
        <v>41</v>
      </c>
      <c r="G108" s="8" t="s">
        <v>43</v>
      </c>
      <c r="H108" s="8" t="s">
        <v>43</v>
      </c>
      <c r="I108" s="8" t="s">
        <v>43</v>
      </c>
      <c r="J108" s="8"/>
      <c r="R108" s="8"/>
    </row>
    <row r="109" ht="15.75" customHeight="1">
      <c r="A109" s="8">
        <v>108.0</v>
      </c>
      <c r="B109" s="8" t="s">
        <v>143</v>
      </c>
      <c r="C109" s="8" t="s">
        <v>144</v>
      </c>
      <c r="D109" s="10" t="s">
        <v>157</v>
      </c>
      <c r="E109" s="8" t="s">
        <v>40</v>
      </c>
      <c r="F109" s="8" t="s">
        <v>46</v>
      </c>
      <c r="G109" s="8" t="s">
        <v>43</v>
      </c>
      <c r="H109" s="8" t="s">
        <v>43</v>
      </c>
      <c r="I109" s="8" t="s">
        <v>43</v>
      </c>
      <c r="J109" s="8"/>
      <c r="R109" s="8"/>
    </row>
    <row r="110" ht="15.75" customHeight="1">
      <c r="A110" s="8">
        <v>109.0</v>
      </c>
      <c r="B110" s="8" t="s">
        <v>143</v>
      </c>
      <c r="C110" s="8" t="s">
        <v>144</v>
      </c>
      <c r="D110" s="10" t="s">
        <v>158</v>
      </c>
      <c r="E110" s="8" t="s">
        <v>40</v>
      </c>
      <c r="F110" s="8" t="s">
        <v>41</v>
      </c>
      <c r="G110" s="8" t="s">
        <v>43</v>
      </c>
      <c r="H110" s="8" t="s">
        <v>43</v>
      </c>
      <c r="I110" s="8" t="s">
        <v>43</v>
      </c>
      <c r="J110" s="8"/>
      <c r="R110" s="8"/>
    </row>
    <row r="111" ht="15.75" customHeight="1">
      <c r="A111" s="8">
        <v>110.0</v>
      </c>
      <c r="B111" s="8" t="s">
        <v>143</v>
      </c>
      <c r="C111" s="8" t="s">
        <v>144</v>
      </c>
      <c r="D111" s="10" t="s">
        <v>159</v>
      </c>
      <c r="E111" s="8" t="s">
        <v>40</v>
      </c>
      <c r="F111" s="8" t="s">
        <v>41</v>
      </c>
      <c r="G111" s="8" t="s">
        <v>43</v>
      </c>
      <c r="H111" s="8" t="s">
        <v>43</v>
      </c>
      <c r="I111" s="8" t="s">
        <v>43</v>
      </c>
      <c r="J111" s="8"/>
      <c r="R111" s="8"/>
    </row>
    <row r="112" ht="15.75" customHeight="1">
      <c r="A112" s="8">
        <v>111.0</v>
      </c>
      <c r="B112" s="8" t="s">
        <v>143</v>
      </c>
      <c r="C112" s="8" t="s">
        <v>144</v>
      </c>
      <c r="D112" s="10" t="s">
        <v>160</v>
      </c>
      <c r="E112" s="8" t="s">
        <v>40</v>
      </c>
      <c r="F112" s="8" t="s">
        <v>46</v>
      </c>
      <c r="G112" s="8" t="s">
        <v>43</v>
      </c>
      <c r="H112" s="8" t="s">
        <v>43</v>
      </c>
      <c r="I112" s="8" t="s">
        <v>43</v>
      </c>
      <c r="J112" s="8"/>
      <c r="R112" s="8"/>
    </row>
    <row r="113" ht="15.75" customHeight="1">
      <c r="A113" s="8">
        <v>112.0</v>
      </c>
      <c r="B113" s="8" t="s">
        <v>143</v>
      </c>
      <c r="C113" s="8" t="s">
        <v>144</v>
      </c>
      <c r="D113" s="10" t="s">
        <v>161</v>
      </c>
      <c r="E113" s="8" t="s">
        <v>40</v>
      </c>
      <c r="F113" s="8" t="s">
        <v>41</v>
      </c>
      <c r="G113" s="8" t="s">
        <v>43</v>
      </c>
      <c r="H113" s="8" t="s">
        <v>43</v>
      </c>
      <c r="I113" s="8" t="s">
        <v>43</v>
      </c>
      <c r="J113" s="8"/>
      <c r="R113" s="8"/>
    </row>
    <row r="114" ht="15.75" customHeight="1">
      <c r="A114" s="8">
        <v>113.0</v>
      </c>
      <c r="B114" s="8" t="s">
        <v>143</v>
      </c>
      <c r="C114" s="8" t="s">
        <v>144</v>
      </c>
      <c r="D114" s="10" t="s">
        <v>162</v>
      </c>
      <c r="E114" s="8" t="s">
        <v>40</v>
      </c>
      <c r="F114" s="8" t="s">
        <v>41</v>
      </c>
      <c r="G114" s="8" t="s">
        <v>43</v>
      </c>
      <c r="H114" s="8" t="s">
        <v>43</v>
      </c>
      <c r="I114" s="8" t="s">
        <v>43</v>
      </c>
      <c r="J114" s="8"/>
      <c r="R114" s="8"/>
    </row>
    <row r="115" ht="15.75" customHeight="1">
      <c r="A115" s="8">
        <v>114.0</v>
      </c>
      <c r="B115" s="8" t="s">
        <v>143</v>
      </c>
      <c r="C115" s="8" t="s">
        <v>144</v>
      </c>
      <c r="D115" s="10" t="s">
        <v>163</v>
      </c>
      <c r="E115" s="8" t="s">
        <v>40</v>
      </c>
      <c r="F115" s="8" t="s">
        <v>46</v>
      </c>
      <c r="G115" s="8" t="s">
        <v>43</v>
      </c>
      <c r="H115" s="8" t="s">
        <v>43</v>
      </c>
      <c r="I115" s="8" t="s">
        <v>43</v>
      </c>
      <c r="J115" s="8"/>
      <c r="R115" s="8"/>
    </row>
    <row r="116" ht="15.75" customHeight="1">
      <c r="A116" s="8">
        <v>115.0</v>
      </c>
      <c r="B116" s="8" t="s">
        <v>143</v>
      </c>
      <c r="C116" s="8" t="s">
        <v>144</v>
      </c>
      <c r="D116" s="10" t="s">
        <v>164</v>
      </c>
      <c r="E116" s="8" t="s">
        <v>40</v>
      </c>
      <c r="F116" s="8" t="s">
        <v>41</v>
      </c>
      <c r="G116" s="8" t="s">
        <v>43</v>
      </c>
      <c r="H116" s="8" t="s">
        <v>43</v>
      </c>
      <c r="I116" s="8" t="s">
        <v>43</v>
      </c>
      <c r="J116" s="8"/>
      <c r="R116" s="8"/>
    </row>
    <row r="117" ht="15.75" customHeight="1">
      <c r="A117" s="8">
        <v>116.0</v>
      </c>
      <c r="B117" s="8" t="s">
        <v>165</v>
      </c>
      <c r="C117" s="8" t="s">
        <v>165</v>
      </c>
      <c r="D117" s="10" t="s">
        <v>165</v>
      </c>
      <c r="E117" s="8" t="s">
        <v>40</v>
      </c>
      <c r="F117" s="8" t="s">
        <v>41</v>
      </c>
      <c r="G117" s="8" t="s">
        <v>43</v>
      </c>
      <c r="H117" s="8" t="s">
        <v>43</v>
      </c>
      <c r="I117" s="8" t="s">
        <v>43</v>
      </c>
      <c r="J117" s="8"/>
      <c r="R117" s="8"/>
    </row>
    <row r="118" ht="15.75" customHeight="1">
      <c r="A118" s="8">
        <v>117.0</v>
      </c>
      <c r="B118" s="8" t="s">
        <v>165</v>
      </c>
      <c r="C118" s="8" t="s">
        <v>165</v>
      </c>
      <c r="D118" s="10" t="s">
        <v>166</v>
      </c>
      <c r="E118" s="8" t="s">
        <v>40</v>
      </c>
      <c r="F118" s="8" t="s">
        <v>46</v>
      </c>
      <c r="G118" s="8" t="s">
        <v>43</v>
      </c>
      <c r="H118" s="8" t="s">
        <v>43</v>
      </c>
      <c r="I118" s="8" t="s">
        <v>43</v>
      </c>
      <c r="J118" s="8"/>
      <c r="R118" s="8"/>
    </row>
    <row r="119" ht="15.75" customHeight="1">
      <c r="A119" s="8">
        <v>118.0</v>
      </c>
      <c r="B119" s="8" t="s">
        <v>165</v>
      </c>
      <c r="C119" s="8" t="s">
        <v>165</v>
      </c>
      <c r="D119" s="10" t="s">
        <v>167</v>
      </c>
      <c r="E119" s="8" t="s">
        <v>40</v>
      </c>
      <c r="F119" s="8" t="s">
        <v>41</v>
      </c>
      <c r="G119" s="8" t="s">
        <v>43</v>
      </c>
      <c r="H119" s="8" t="s">
        <v>43</v>
      </c>
      <c r="I119" s="8" t="s">
        <v>43</v>
      </c>
      <c r="J119" s="8"/>
      <c r="R119" s="8"/>
    </row>
    <row r="120" ht="15.75" customHeight="1">
      <c r="A120" s="8">
        <v>119.0</v>
      </c>
      <c r="B120" s="8" t="s">
        <v>165</v>
      </c>
      <c r="C120" s="8" t="s">
        <v>165</v>
      </c>
      <c r="D120" s="10" t="s">
        <v>168</v>
      </c>
      <c r="E120" s="8" t="s">
        <v>40</v>
      </c>
      <c r="F120" s="8" t="s">
        <v>41</v>
      </c>
      <c r="G120" s="8" t="s">
        <v>43</v>
      </c>
      <c r="H120" s="8" t="s">
        <v>43</v>
      </c>
      <c r="I120" s="8" t="s">
        <v>43</v>
      </c>
      <c r="J120" s="8"/>
      <c r="R120" s="8"/>
    </row>
    <row r="121" ht="15.75" customHeight="1">
      <c r="A121" s="8">
        <v>120.0</v>
      </c>
      <c r="B121" s="8" t="s">
        <v>165</v>
      </c>
      <c r="C121" s="8" t="s">
        <v>165</v>
      </c>
      <c r="D121" s="10" t="s">
        <v>169</v>
      </c>
      <c r="E121" s="8" t="s">
        <v>40</v>
      </c>
      <c r="F121" s="8" t="s">
        <v>46</v>
      </c>
      <c r="G121" s="8" t="s">
        <v>43</v>
      </c>
      <c r="H121" s="8" t="s">
        <v>43</v>
      </c>
      <c r="I121" s="8" t="s">
        <v>43</v>
      </c>
      <c r="J121" s="8"/>
      <c r="R121" s="8"/>
    </row>
    <row r="122" ht="15.75" customHeight="1">
      <c r="A122" s="8">
        <v>121.0</v>
      </c>
      <c r="B122" s="8" t="s">
        <v>165</v>
      </c>
      <c r="C122" s="8" t="s">
        <v>165</v>
      </c>
      <c r="D122" s="10" t="s">
        <v>170</v>
      </c>
      <c r="E122" s="8" t="s">
        <v>40</v>
      </c>
      <c r="F122" s="8" t="s">
        <v>41</v>
      </c>
      <c r="G122" s="8" t="s">
        <v>43</v>
      </c>
      <c r="H122" s="8" t="s">
        <v>43</v>
      </c>
      <c r="I122" s="8" t="s">
        <v>43</v>
      </c>
      <c r="J122" s="8"/>
      <c r="R122" s="8"/>
    </row>
    <row r="123" ht="15.75" customHeight="1">
      <c r="A123" s="8">
        <v>122.0</v>
      </c>
      <c r="B123" s="8" t="s">
        <v>165</v>
      </c>
      <c r="C123" s="8" t="s">
        <v>165</v>
      </c>
      <c r="D123" s="10" t="s">
        <v>171</v>
      </c>
      <c r="E123" s="8" t="s">
        <v>40</v>
      </c>
      <c r="F123" s="8" t="s">
        <v>41</v>
      </c>
      <c r="G123" s="8" t="s">
        <v>43</v>
      </c>
      <c r="H123" s="8" t="s">
        <v>43</v>
      </c>
      <c r="I123" s="8" t="s">
        <v>43</v>
      </c>
      <c r="J123" s="8"/>
      <c r="R123" s="8"/>
    </row>
    <row r="124" ht="15.75" customHeight="1">
      <c r="A124" s="8">
        <v>123.0</v>
      </c>
      <c r="B124" s="8" t="s">
        <v>165</v>
      </c>
      <c r="C124" s="8" t="s">
        <v>165</v>
      </c>
      <c r="D124" s="10" t="s">
        <v>172</v>
      </c>
      <c r="E124" s="8" t="s">
        <v>40</v>
      </c>
      <c r="F124" s="8" t="s">
        <v>46</v>
      </c>
      <c r="G124" s="8" t="s">
        <v>43</v>
      </c>
      <c r="H124" s="8" t="s">
        <v>43</v>
      </c>
      <c r="I124" s="8" t="s">
        <v>43</v>
      </c>
      <c r="J124" s="8"/>
      <c r="R124" s="8"/>
    </row>
    <row r="125" ht="15.75" customHeight="1">
      <c r="A125" s="8">
        <v>124.0</v>
      </c>
      <c r="B125" s="8" t="s">
        <v>165</v>
      </c>
      <c r="C125" s="8" t="s">
        <v>165</v>
      </c>
      <c r="D125" s="10" t="s">
        <v>173</v>
      </c>
      <c r="E125" s="8" t="s">
        <v>40</v>
      </c>
      <c r="F125" s="8" t="s">
        <v>41</v>
      </c>
      <c r="G125" s="8" t="s">
        <v>43</v>
      </c>
      <c r="H125" s="8" t="s">
        <v>43</v>
      </c>
      <c r="I125" s="8" t="s">
        <v>43</v>
      </c>
      <c r="J125" s="8"/>
      <c r="R125" s="8"/>
    </row>
    <row r="126" ht="15.75" customHeight="1">
      <c r="A126" s="8">
        <v>125.0</v>
      </c>
      <c r="B126" s="8" t="s">
        <v>165</v>
      </c>
      <c r="C126" s="8" t="s">
        <v>165</v>
      </c>
      <c r="D126" s="10" t="s">
        <v>174</v>
      </c>
      <c r="E126" s="8" t="s">
        <v>40</v>
      </c>
      <c r="F126" s="8" t="s">
        <v>41</v>
      </c>
      <c r="G126" s="8" t="s">
        <v>43</v>
      </c>
      <c r="H126" s="8" t="s">
        <v>43</v>
      </c>
      <c r="I126" s="8" t="s">
        <v>43</v>
      </c>
      <c r="J126" s="8"/>
      <c r="R126" s="8"/>
    </row>
    <row r="127" ht="15.75" customHeight="1">
      <c r="A127" s="8">
        <v>126.0</v>
      </c>
      <c r="B127" s="8" t="s">
        <v>165</v>
      </c>
      <c r="C127" s="8" t="s">
        <v>165</v>
      </c>
      <c r="D127" s="10" t="s">
        <v>175</v>
      </c>
      <c r="E127" s="8" t="s">
        <v>40</v>
      </c>
      <c r="F127" s="8" t="s">
        <v>46</v>
      </c>
      <c r="G127" s="8" t="s">
        <v>43</v>
      </c>
      <c r="H127" s="8" t="s">
        <v>43</v>
      </c>
      <c r="I127" s="8" t="s">
        <v>43</v>
      </c>
      <c r="J127" s="8"/>
      <c r="R127" s="8"/>
    </row>
    <row r="128" ht="15.75" customHeight="1">
      <c r="A128" s="8">
        <v>127.0</v>
      </c>
      <c r="B128" s="8" t="s">
        <v>165</v>
      </c>
      <c r="C128" s="8" t="s">
        <v>165</v>
      </c>
      <c r="D128" s="10" t="s">
        <v>176</v>
      </c>
      <c r="E128" s="8" t="s">
        <v>40</v>
      </c>
      <c r="F128" s="8" t="s">
        <v>41</v>
      </c>
      <c r="G128" s="8" t="s">
        <v>43</v>
      </c>
      <c r="H128" s="8" t="s">
        <v>43</v>
      </c>
      <c r="I128" s="8" t="s">
        <v>43</v>
      </c>
      <c r="J128" s="8"/>
      <c r="R128" s="8"/>
    </row>
    <row r="129" ht="15.75" customHeight="1">
      <c r="A129" s="8">
        <v>128.0</v>
      </c>
      <c r="B129" s="8" t="s">
        <v>165</v>
      </c>
      <c r="C129" s="8" t="s">
        <v>165</v>
      </c>
      <c r="D129" s="10" t="s">
        <v>177</v>
      </c>
      <c r="E129" s="8" t="s">
        <v>40</v>
      </c>
      <c r="F129" s="8" t="s">
        <v>41</v>
      </c>
      <c r="G129" s="8" t="s">
        <v>43</v>
      </c>
      <c r="H129" s="8" t="s">
        <v>43</v>
      </c>
      <c r="I129" s="8" t="s">
        <v>43</v>
      </c>
      <c r="J129" s="8"/>
      <c r="R129" s="8"/>
    </row>
    <row r="130" ht="15.75" customHeight="1">
      <c r="A130" s="8">
        <v>129.0</v>
      </c>
      <c r="B130" s="8" t="s">
        <v>165</v>
      </c>
      <c r="C130" s="8" t="s">
        <v>165</v>
      </c>
      <c r="D130" s="10" t="s">
        <v>178</v>
      </c>
      <c r="E130" s="8" t="s">
        <v>40</v>
      </c>
      <c r="F130" s="8" t="s">
        <v>46</v>
      </c>
      <c r="G130" s="8" t="s">
        <v>43</v>
      </c>
      <c r="H130" s="8" t="s">
        <v>43</v>
      </c>
      <c r="I130" s="8" t="s">
        <v>43</v>
      </c>
      <c r="J130" s="8"/>
      <c r="R130" s="8"/>
    </row>
    <row r="131" ht="15.75" customHeight="1">
      <c r="A131" s="8">
        <v>130.0</v>
      </c>
      <c r="B131" s="8" t="s">
        <v>165</v>
      </c>
      <c r="C131" s="8" t="s">
        <v>165</v>
      </c>
      <c r="D131" s="10" t="s">
        <v>179</v>
      </c>
      <c r="E131" s="8" t="s">
        <v>40</v>
      </c>
      <c r="F131" s="8" t="s">
        <v>41</v>
      </c>
      <c r="G131" s="8" t="s">
        <v>43</v>
      </c>
      <c r="H131" s="8" t="s">
        <v>43</v>
      </c>
      <c r="I131" s="8" t="s">
        <v>43</v>
      </c>
      <c r="J131" s="8"/>
      <c r="R131" s="8"/>
    </row>
    <row r="132" ht="15.75" customHeight="1">
      <c r="A132" s="8">
        <v>131.0</v>
      </c>
      <c r="B132" s="8" t="s">
        <v>165</v>
      </c>
      <c r="C132" s="8" t="s">
        <v>165</v>
      </c>
      <c r="D132" s="10" t="s">
        <v>180</v>
      </c>
      <c r="E132" s="8" t="s">
        <v>40</v>
      </c>
      <c r="F132" s="8" t="s">
        <v>41</v>
      </c>
      <c r="G132" s="8" t="s">
        <v>43</v>
      </c>
      <c r="H132" s="8" t="s">
        <v>43</v>
      </c>
      <c r="I132" s="8" t="s">
        <v>43</v>
      </c>
      <c r="J132" s="8"/>
      <c r="R132" s="8"/>
    </row>
    <row r="133" ht="15.75" customHeight="1">
      <c r="A133" s="8">
        <v>132.0</v>
      </c>
      <c r="B133" s="8" t="s">
        <v>165</v>
      </c>
      <c r="C133" s="8" t="s">
        <v>165</v>
      </c>
      <c r="D133" s="10" t="s">
        <v>181</v>
      </c>
      <c r="E133" s="8" t="s">
        <v>40</v>
      </c>
      <c r="F133" s="8" t="s">
        <v>46</v>
      </c>
      <c r="G133" s="8" t="s">
        <v>43</v>
      </c>
      <c r="H133" s="8" t="s">
        <v>43</v>
      </c>
      <c r="I133" s="8" t="s">
        <v>43</v>
      </c>
      <c r="J133" s="8"/>
      <c r="R133" s="8"/>
    </row>
    <row r="134" ht="15.75" customHeight="1">
      <c r="A134" s="8">
        <v>133.0</v>
      </c>
      <c r="B134" s="8" t="s">
        <v>165</v>
      </c>
      <c r="C134" s="8" t="s">
        <v>165</v>
      </c>
      <c r="D134" s="10" t="s">
        <v>182</v>
      </c>
      <c r="E134" s="8" t="s">
        <v>40</v>
      </c>
      <c r="F134" s="8" t="s">
        <v>41</v>
      </c>
      <c r="G134" s="8" t="s">
        <v>43</v>
      </c>
      <c r="H134" s="8" t="s">
        <v>43</v>
      </c>
      <c r="I134" s="8" t="s">
        <v>43</v>
      </c>
      <c r="J134" s="8"/>
      <c r="R134" s="8"/>
    </row>
    <row r="135" ht="15.75" customHeight="1">
      <c r="A135" s="8">
        <v>134.0</v>
      </c>
      <c r="B135" s="8" t="s">
        <v>165</v>
      </c>
      <c r="C135" s="8" t="s">
        <v>165</v>
      </c>
      <c r="D135" s="10" t="s">
        <v>183</v>
      </c>
      <c r="E135" s="8" t="s">
        <v>40</v>
      </c>
      <c r="F135" s="8" t="s">
        <v>41</v>
      </c>
      <c r="G135" s="8" t="s">
        <v>43</v>
      </c>
      <c r="H135" s="8" t="s">
        <v>43</v>
      </c>
      <c r="I135" s="8" t="s">
        <v>43</v>
      </c>
      <c r="J135" s="8"/>
      <c r="R135" s="8"/>
    </row>
    <row r="136" ht="15.75" customHeight="1">
      <c r="A136" s="8">
        <v>135.0</v>
      </c>
      <c r="B136" s="8" t="s">
        <v>165</v>
      </c>
      <c r="C136" s="8" t="s">
        <v>165</v>
      </c>
      <c r="D136" s="10" t="s">
        <v>184</v>
      </c>
      <c r="E136" s="8" t="s">
        <v>40</v>
      </c>
      <c r="F136" s="8" t="s">
        <v>46</v>
      </c>
      <c r="G136" s="8" t="s">
        <v>43</v>
      </c>
      <c r="H136" s="8" t="s">
        <v>43</v>
      </c>
      <c r="I136" s="8" t="s">
        <v>43</v>
      </c>
      <c r="J136" s="8"/>
      <c r="R136" s="8"/>
    </row>
    <row r="137" ht="15.75" customHeight="1">
      <c r="A137" s="8">
        <v>136.0</v>
      </c>
      <c r="B137" s="8" t="s">
        <v>185</v>
      </c>
      <c r="C137" s="8" t="s">
        <v>186</v>
      </c>
      <c r="D137" s="10" t="s">
        <v>187</v>
      </c>
      <c r="E137" s="8" t="s">
        <v>40</v>
      </c>
      <c r="F137" s="8" t="s">
        <v>41</v>
      </c>
      <c r="G137" s="8" t="s">
        <v>43</v>
      </c>
      <c r="H137" s="8" t="s">
        <v>43</v>
      </c>
      <c r="I137" s="8" t="s">
        <v>43</v>
      </c>
      <c r="J137" s="8"/>
      <c r="R137" s="8"/>
    </row>
    <row r="138" ht="15.75" customHeight="1">
      <c r="A138" s="8">
        <v>137.0</v>
      </c>
      <c r="B138" s="8" t="s">
        <v>185</v>
      </c>
      <c r="C138" s="8" t="s">
        <v>186</v>
      </c>
      <c r="D138" s="10" t="s">
        <v>188</v>
      </c>
      <c r="E138" s="8" t="s">
        <v>40</v>
      </c>
      <c r="F138" s="8" t="s">
        <v>41</v>
      </c>
      <c r="G138" s="8" t="s">
        <v>43</v>
      </c>
      <c r="H138" s="8" t="s">
        <v>43</v>
      </c>
      <c r="I138" s="8" t="s">
        <v>43</v>
      </c>
      <c r="J138" s="8"/>
      <c r="R138" s="8"/>
    </row>
    <row r="139" ht="15.75" customHeight="1">
      <c r="A139" s="8">
        <v>138.0</v>
      </c>
      <c r="B139" s="8" t="s">
        <v>185</v>
      </c>
      <c r="C139" s="8" t="s">
        <v>186</v>
      </c>
      <c r="D139" s="10" t="s">
        <v>189</v>
      </c>
      <c r="E139" s="8" t="s">
        <v>40</v>
      </c>
      <c r="F139" s="8" t="s">
        <v>46</v>
      </c>
      <c r="G139" s="8" t="s">
        <v>43</v>
      </c>
      <c r="H139" s="8" t="s">
        <v>43</v>
      </c>
      <c r="I139" s="8" t="s">
        <v>43</v>
      </c>
      <c r="J139" s="8"/>
      <c r="R139" s="8"/>
    </row>
    <row r="140" ht="15.75" customHeight="1">
      <c r="A140" s="8">
        <v>139.0</v>
      </c>
      <c r="B140" s="8" t="s">
        <v>185</v>
      </c>
      <c r="C140" s="8" t="s">
        <v>186</v>
      </c>
      <c r="D140" s="10" t="s">
        <v>190</v>
      </c>
      <c r="E140" s="8" t="s">
        <v>40</v>
      </c>
      <c r="F140" s="8" t="s">
        <v>41</v>
      </c>
      <c r="G140" s="8" t="s">
        <v>43</v>
      </c>
      <c r="H140" s="8" t="s">
        <v>43</v>
      </c>
      <c r="I140" s="8" t="s">
        <v>43</v>
      </c>
      <c r="J140" s="8"/>
      <c r="R140" s="8"/>
    </row>
    <row r="141" ht="15.75" customHeight="1">
      <c r="A141" s="8">
        <v>140.0</v>
      </c>
      <c r="B141" s="8" t="s">
        <v>185</v>
      </c>
      <c r="C141" s="8" t="s">
        <v>186</v>
      </c>
      <c r="D141" s="10" t="s">
        <v>191</v>
      </c>
      <c r="E141" s="8" t="s">
        <v>40</v>
      </c>
      <c r="F141" s="8" t="s">
        <v>41</v>
      </c>
      <c r="G141" s="8" t="s">
        <v>43</v>
      </c>
      <c r="H141" s="8" t="s">
        <v>43</v>
      </c>
      <c r="I141" s="8" t="s">
        <v>43</v>
      </c>
      <c r="J141" s="8"/>
      <c r="R141" s="8"/>
    </row>
    <row r="142" ht="15.75" customHeight="1">
      <c r="A142" s="8">
        <v>141.0</v>
      </c>
      <c r="B142" s="8" t="s">
        <v>185</v>
      </c>
      <c r="C142" s="8" t="s">
        <v>186</v>
      </c>
      <c r="D142" s="10" t="s">
        <v>192</v>
      </c>
      <c r="E142" s="8" t="s">
        <v>40</v>
      </c>
      <c r="F142" s="8" t="s">
        <v>46</v>
      </c>
      <c r="G142" s="8" t="s">
        <v>43</v>
      </c>
      <c r="H142" s="8" t="s">
        <v>43</v>
      </c>
      <c r="I142" s="8" t="s">
        <v>43</v>
      </c>
      <c r="J142" s="8"/>
      <c r="R142" s="8"/>
    </row>
    <row r="143" ht="15.75" customHeight="1">
      <c r="A143" s="8">
        <v>142.0</v>
      </c>
      <c r="B143" s="8" t="s">
        <v>185</v>
      </c>
      <c r="C143" s="8" t="s">
        <v>186</v>
      </c>
      <c r="D143" s="10" t="s">
        <v>193</v>
      </c>
      <c r="E143" s="8" t="s">
        <v>40</v>
      </c>
      <c r="F143" s="8" t="s">
        <v>41</v>
      </c>
      <c r="G143" s="8" t="s">
        <v>43</v>
      </c>
      <c r="H143" s="8" t="s">
        <v>43</v>
      </c>
      <c r="I143" s="8" t="s">
        <v>43</v>
      </c>
      <c r="J143" s="8"/>
      <c r="R143" s="8"/>
    </row>
    <row r="144" ht="15.75" customHeight="1">
      <c r="A144" s="8">
        <v>143.0</v>
      </c>
      <c r="B144" s="8" t="s">
        <v>185</v>
      </c>
      <c r="C144" s="8" t="s">
        <v>186</v>
      </c>
      <c r="D144" s="10" t="s">
        <v>194</v>
      </c>
      <c r="E144" s="8" t="s">
        <v>40</v>
      </c>
      <c r="F144" s="8" t="s">
        <v>41</v>
      </c>
      <c r="G144" s="8" t="s">
        <v>43</v>
      </c>
      <c r="H144" s="8" t="s">
        <v>43</v>
      </c>
      <c r="I144" s="8" t="s">
        <v>43</v>
      </c>
      <c r="J144" s="8"/>
      <c r="R144" s="8"/>
    </row>
    <row r="145" ht="15.75" customHeight="1">
      <c r="A145" s="8">
        <v>144.0</v>
      </c>
      <c r="B145" s="8" t="s">
        <v>185</v>
      </c>
      <c r="C145" s="8" t="s">
        <v>186</v>
      </c>
      <c r="D145" s="10" t="s">
        <v>195</v>
      </c>
      <c r="E145" s="8" t="s">
        <v>40</v>
      </c>
      <c r="F145" s="8" t="s">
        <v>46</v>
      </c>
      <c r="G145" s="8" t="s">
        <v>43</v>
      </c>
      <c r="H145" s="8" t="s">
        <v>43</v>
      </c>
      <c r="I145" s="8" t="s">
        <v>43</v>
      </c>
      <c r="J145" s="8"/>
      <c r="R145" s="8"/>
    </row>
    <row r="146" ht="15.75" customHeight="1">
      <c r="A146" s="8">
        <v>145.0</v>
      </c>
      <c r="B146" s="8" t="s">
        <v>185</v>
      </c>
      <c r="C146" s="8" t="s">
        <v>186</v>
      </c>
      <c r="D146" s="10" t="s">
        <v>196</v>
      </c>
      <c r="E146" s="8" t="s">
        <v>40</v>
      </c>
      <c r="F146" s="8" t="s">
        <v>41</v>
      </c>
      <c r="G146" s="8" t="s">
        <v>43</v>
      </c>
      <c r="H146" s="8" t="s">
        <v>43</v>
      </c>
      <c r="I146" s="8" t="s">
        <v>43</v>
      </c>
      <c r="J146" s="8"/>
      <c r="R146" s="8"/>
    </row>
    <row r="147" ht="15.75" customHeight="1">
      <c r="A147" s="8">
        <v>146.0</v>
      </c>
      <c r="B147" s="8" t="s">
        <v>185</v>
      </c>
      <c r="C147" s="8" t="s">
        <v>186</v>
      </c>
      <c r="D147" s="10" t="s">
        <v>197</v>
      </c>
      <c r="E147" s="8" t="s">
        <v>40</v>
      </c>
      <c r="F147" s="8" t="s">
        <v>41</v>
      </c>
      <c r="G147" s="8" t="s">
        <v>43</v>
      </c>
      <c r="H147" s="8" t="s">
        <v>43</v>
      </c>
      <c r="I147" s="8" t="s">
        <v>43</v>
      </c>
      <c r="J147" s="8"/>
      <c r="R147" s="8"/>
    </row>
    <row r="148" ht="15.75" customHeight="1">
      <c r="A148" s="8">
        <v>147.0</v>
      </c>
      <c r="B148" s="8" t="s">
        <v>185</v>
      </c>
      <c r="C148" s="8" t="s">
        <v>186</v>
      </c>
      <c r="D148" s="10" t="s">
        <v>198</v>
      </c>
      <c r="E148" s="8" t="s">
        <v>40</v>
      </c>
      <c r="F148" s="8" t="s">
        <v>46</v>
      </c>
      <c r="G148" s="8" t="s">
        <v>43</v>
      </c>
      <c r="H148" s="8" t="s">
        <v>43</v>
      </c>
      <c r="I148" s="8" t="s">
        <v>43</v>
      </c>
      <c r="J148" s="8"/>
      <c r="R148" s="8"/>
    </row>
    <row r="149" ht="15.75" customHeight="1">
      <c r="A149" s="8">
        <v>148.0</v>
      </c>
      <c r="B149" s="8" t="s">
        <v>185</v>
      </c>
      <c r="C149" s="8" t="s">
        <v>186</v>
      </c>
      <c r="D149" s="10" t="s">
        <v>199</v>
      </c>
      <c r="E149" s="8" t="s">
        <v>40</v>
      </c>
      <c r="F149" s="8" t="s">
        <v>41</v>
      </c>
      <c r="G149" s="8" t="s">
        <v>43</v>
      </c>
      <c r="H149" s="8" t="s">
        <v>43</v>
      </c>
      <c r="I149" s="8" t="s">
        <v>43</v>
      </c>
      <c r="J149" s="8"/>
      <c r="R149" s="8"/>
    </row>
    <row r="150" ht="15.75" customHeight="1">
      <c r="A150" s="8">
        <v>149.0</v>
      </c>
      <c r="B150" s="8" t="s">
        <v>185</v>
      </c>
      <c r="C150" s="8" t="s">
        <v>186</v>
      </c>
      <c r="D150" s="10" t="s">
        <v>200</v>
      </c>
      <c r="E150" s="8" t="s">
        <v>40</v>
      </c>
      <c r="F150" s="8" t="s">
        <v>41</v>
      </c>
      <c r="G150" s="8" t="s">
        <v>43</v>
      </c>
      <c r="H150" s="8" t="s">
        <v>43</v>
      </c>
      <c r="I150" s="8" t="s">
        <v>43</v>
      </c>
      <c r="J150" s="8"/>
      <c r="R150" s="8"/>
    </row>
    <row r="151" ht="15.75" customHeight="1">
      <c r="A151" s="8">
        <v>150.0</v>
      </c>
      <c r="B151" s="8" t="s">
        <v>185</v>
      </c>
      <c r="C151" s="8" t="s">
        <v>186</v>
      </c>
      <c r="D151" s="10" t="s">
        <v>201</v>
      </c>
      <c r="E151" s="8" t="s">
        <v>40</v>
      </c>
      <c r="F151" s="8" t="s">
        <v>46</v>
      </c>
      <c r="G151" s="8" t="s">
        <v>43</v>
      </c>
      <c r="H151" s="8" t="s">
        <v>43</v>
      </c>
      <c r="I151" s="8" t="s">
        <v>43</v>
      </c>
      <c r="J151" s="8"/>
      <c r="R151" s="8"/>
    </row>
    <row r="152" ht="15.75" customHeight="1">
      <c r="A152" s="8">
        <v>151.0</v>
      </c>
      <c r="B152" s="8" t="s">
        <v>202</v>
      </c>
      <c r="C152" s="8" t="s">
        <v>203</v>
      </c>
      <c r="D152" s="10" t="s">
        <v>204</v>
      </c>
      <c r="E152" s="8" t="s">
        <v>40</v>
      </c>
      <c r="F152" s="8" t="s">
        <v>41</v>
      </c>
      <c r="G152" s="8" t="s">
        <v>43</v>
      </c>
      <c r="H152" s="8" t="s">
        <v>43</v>
      </c>
      <c r="I152" s="8" t="s">
        <v>43</v>
      </c>
      <c r="J152" s="8"/>
      <c r="R152" s="8"/>
    </row>
    <row r="153" ht="15.75" customHeight="1">
      <c r="A153" s="8">
        <v>152.0</v>
      </c>
      <c r="B153" s="8" t="s">
        <v>202</v>
      </c>
      <c r="C153" s="8" t="s">
        <v>203</v>
      </c>
      <c r="D153" s="10" t="s">
        <v>205</v>
      </c>
      <c r="E153" s="8" t="s">
        <v>40</v>
      </c>
      <c r="F153" s="8" t="s">
        <v>41</v>
      </c>
      <c r="G153" s="8" t="s">
        <v>43</v>
      </c>
      <c r="H153" s="8" t="s">
        <v>43</v>
      </c>
      <c r="I153" s="8" t="s">
        <v>43</v>
      </c>
      <c r="J153" s="8"/>
      <c r="R153" s="8"/>
    </row>
    <row r="154" ht="15.75" customHeight="1">
      <c r="A154" s="8">
        <v>153.0</v>
      </c>
      <c r="B154" s="8" t="s">
        <v>202</v>
      </c>
      <c r="C154" s="8" t="s">
        <v>203</v>
      </c>
      <c r="D154" s="10" t="s">
        <v>206</v>
      </c>
      <c r="E154" s="8" t="s">
        <v>40</v>
      </c>
      <c r="F154" s="8" t="s">
        <v>46</v>
      </c>
      <c r="G154" s="8" t="s">
        <v>43</v>
      </c>
      <c r="H154" s="8" t="s">
        <v>43</v>
      </c>
      <c r="I154" s="8" t="s">
        <v>43</v>
      </c>
      <c r="J154" s="8"/>
      <c r="R154" s="8"/>
    </row>
    <row r="155" ht="15.75" customHeight="1">
      <c r="A155" s="8">
        <v>154.0</v>
      </c>
      <c r="B155" s="8" t="s">
        <v>202</v>
      </c>
      <c r="C155" s="8" t="s">
        <v>203</v>
      </c>
      <c r="D155" s="10" t="s">
        <v>207</v>
      </c>
      <c r="E155" s="8" t="s">
        <v>40</v>
      </c>
      <c r="F155" s="8" t="s">
        <v>41</v>
      </c>
      <c r="G155" s="8" t="s">
        <v>43</v>
      </c>
      <c r="H155" s="8" t="s">
        <v>43</v>
      </c>
      <c r="I155" s="8" t="s">
        <v>43</v>
      </c>
      <c r="J155" s="8"/>
      <c r="R155" s="8"/>
    </row>
    <row r="156" ht="15.75" customHeight="1">
      <c r="A156" s="8">
        <v>155.0</v>
      </c>
      <c r="B156" s="8" t="s">
        <v>202</v>
      </c>
      <c r="C156" s="8" t="s">
        <v>203</v>
      </c>
      <c r="D156" s="10" t="s">
        <v>208</v>
      </c>
      <c r="E156" s="8" t="s">
        <v>40</v>
      </c>
      <c r="F156" s="8" t="s">
        <v>41</v>
      </c>
      <c r="G156" s="8" t="s">
        <v>43</v>
      </c>
      <c r="H156" s="8" t="s">
        <v>43</v>
      </c>
      <c r="I156" s="8" t="s">
        <v>43</v>
      </c>
      <c r="J156" s="8"/>
      <c r="R156" s="8"/>
    </row>
    <row r="157" ht="15.75" customHeight="1">
      <c r="A157" s="8">
        <v>156.0</v>
      </c>
      <c r="B157" s="8" t="s">
        <v>202</v>
      </c>
      <c r="C157" s="8" t="s">
        <v>203</v>
      </c>
      <c r="D157" s="10" t="s">
        <v>209</v>
      </c>
      <c r="E157" s="8" t="s">
        <v>40</v>
      </c>
      <c r="F157" s="8" t="s">
        <v>46</v>
      </c>
      <c r="G157" s="8" t="s">
        <v>43</v>
      </c>
      <c r="H157" s="8" t="s">
        <v>43</v>
      </c>
      <c r="I157" s="8" t="s">
        <v>43</v>
      </c>
      <c r="J157" s="8"/>
      <c r="R157" s="8"/>
    </row>
    <row r="158" ht="15.75" customHeight="1">
      <c r="A158" s="8">
        <v>157.0</v>
      </c>
      <c r="B158" s="8" t="s">
        <v>202</v>
      </c>
      <c r="C158" s="8" t="s">
        <v>203</v>
      </c>
      <c r="D158" s="10" t="s">
        <v>210</v>
      </c>
      <c r="E158" s="8" t="s">
        <v>40</v>
      </c>
      <c r="F158" s="8" t="s">
        <v>41</v>
      </c>
      <c r="G158" s="8" t="s">
        <v>43</v>
      </c>
      <c r="H158" s="8" t="s">
        <v>43</v>
      </c>
      <c r="I158" s="8" t="s">
        <v>43</v>
      </c>
      <c r="J158" s="8"/>
      <c r="R158" s="8"/>
    </row>
    <row r="159" ht="15.75" customHeight="1">
      <c r="A159" s="8">
        <v>158.0</v>
      </c>
      <c r="B159" s="8" t="s">
        <v>202</v>
      </c>
      <c r="C159" s="8" t="s">
        <v>203</v>
      </c>
      <c r="D159" s="10" t="s">
        <v>211</v>
      </c>
      <c r="E159" s="8" t="s">
        <v>40</v>
      </c>
      <c r="F159" s="8" t="s">
        <v>41</v>
      </c>
      <c r="G159" s="8" t="s">
        <v>43</v>
      </c>
      <c r="H159" s="8" t="s">
        <v>43</v>
      </c>
      <c r="I159" s="8" t="s">
        <v>43</v>
      </c>
      <c r="J159" s="8"/>
      <c r="R159" s="8"/>
    </row>
    <row r="160" ht="15.75" customHeight="1">
      <c r="A160" s="8">
        <v>159.0</v>
      </c>
      <c r="B160" s="8" t="s">
        <v>202</v>
      </c>
      <c r="C160" s="8" t="s">
        <v>203</v>
      </c>
      <c r="D160" s="10" t="s">
        <v>212</v>
      </c>
      <c r="E160" s="8" t="s">
        <v>40</v>
      </c>
      <c r="F160" s="8" t="s">
        <v>46</v>
      </c>
      <c r="G160" s="8" t="s">
        <v>43</v>
      </c>
      <c r="H160" s="8" t="s">
        <v>43</v>
      </c>
      <c r="I160" s="8" t="s">
        <v>43</v>
      </c>
      <c r="J160" s="8"/>
      <c r="R160" s="8"/>
    </row>
    <row r="161" ht="15.75" customHeight="1">
      <c r="A161" s="8">
        <v>160.0</v>
      </c>
      <c r="B161" s="8" t="s">
        <v>202</v>
      </c>
      <c r="C161" s="8" t="s">
        <v>203</v>
      </c>
      <c r="D161" s="10" t="s">
        <v>213</v>
      </c>
      <c r="E161" s="8" t="s">
        <v>40</v>
      </c>
      <c r="F161" s="8" t="s">
        <v>41</v>
      </c>
      <c r="G161" s="8" t="s">
        <v>43</v>
      </c>
      <c r="H161" s="8" t="s">
        <v>43</v>
      </c>
      <c r="I161" s="8" t="s">
        <v>43</v>
      </c>
      <c r="J161" s="8"/>
      <c r="R161" s="8"/>
    </row>
    <row r="162" ht="15.75" customHeight="1">
      <c r="A162" s="8">
        <v>161.0</v>
      </c>
      <c r="B162" s="8" t="s">
        <v>202</v>
      </c>
      <c r="C162" s="8" t="s">
        <v>203</v>
      </c>
      <c r="D162" s="10" t="s">
        <v>214</v>
      </c>
      <c r="E162" s="8" t="s">
        <v>40</v>
      </c>
      <c r="F162" s="8" t="s">
        <v>41</v>
      </c>
      <c r="G162" s="8" t="s">
        <v>43</v>
      </c>
      <c r="H162" s="8" t="s">
        <v>43</v>
      </c>
      <c r="I162" s="8" t="s">
        <v>43</v>
      </c>
      <c r="J162" s="8"/>
      <c r="R162" s="8"/>
    </row>
    <row r="163" ht="15.75" customHeight="1">
      <c r="A163" s="8">
        <v>162.0</v>
      </c>
      <c r="B163" s="8" t="s">
        <v>202</v>
      </c>
      <c r="C163" s="8" t="s">
        <v>203</v>
      </c>
      <c r="D163" s="10" t="s">
        <v>215</v>
      </c>
      <c r="E163" s="8" t="s">
        <v>40</v>
      </c>
      <c r="F163" s="8" t="s">
        <v>46</v>
      </c>
      <c r="G163" s="8" t="s">
        <v>43</v>
      </c>
      <c r="H163" s="8" t="s">
        <v>43</v>
      </c>
      <c r="I163" s="8" t="s">
        <v>43</v>
      </c>
      <c r="J163" s="8"/>
      <c r="R163" s="8"/>
    </row>
    <row r="164" ht="15.75" customHeight="1">
      <c r="A164" s="8">
        <v>163.0</v>
      </c>
      <c r="B164" s="8" t="s">
        <v>202</v>
      </c>
      <c r="C164" s="8" t="s">
        <v>203</v>
      </c>
      <c r="D164" s="10" t="s">
        <v>216</v>
      </c>
      <c r="E164" s="8" t="s">
        <v>40</v>
      </c>
      <c r="F164" s="8" t="s">
        <v>41</v>
      </c>
      <c r="G164" s="8" t="s">
        <v>43</v>
      </c>
      <c r="H164" s="8" t="s">
        <v>43</v>
      </c>
      <c r="I164" s="8" t="s">
        <v>43</v>
      </c>
      <c r="J164" s="8"/>
      <c r="R164" s="8"/>
    </row>
    <row r="165" ht="15.75" customHeight="1">
      <c r="A165" s="8">
        <v>164.0</v>
      </c>
      <c r="B165" s="8" t="s">
        <v>202</v>
      </c>
      <c r="C165" s="8" t="s">
        <v>203</v>
      </c>
      <c r="D165" s="10" t="s">
        <v>217</v>
      </c>
      <c r="E165" s="8" t="s">
        <v>40</v>
      </c>
      <c r="F165" s="8" t="s">
        <v>41</v>
      </c>
      <c r="G165" s="8" t="s">
        <v>43</v>
      </c>
      <c r="H165" s="8" t="s">
        <v>43</v>
      </c>
      <c r="I165" s="8" t="s">
        <v>43</v>
      </c>
      <c r="J165" s="8"/>
      <c r="R165" s="8"/>
    </row>
    <row r="166" ht="15.75" customHeight="1">
      <c r="A166" s="8">
        <v>165.0</v>
      </c>
      <c r="B166" s="8" t="s">
        <v>202</v>
      </c>
      <c r="C166" s="8" t="s">
        <v>203</v>
      </c>
      <c r="D166" s="10" t="s">
        <v>218</v>
      </c>
      <c r="E166" s="8" t="s">
        <v>40</v>
      </c>
      <c r="F166" s="8" t="s">
        <v>46</v>
      </c>
      <c r="G166" s="8" t="s">
        <v>43</v>
      </c>
      <c r="H166" s="8" t="s">
        <v>43</v>
      </c>
      <c r="I166" s="8" t="s">
        <v>43</v>
      </c>
      <c r="J166" s="8"/>
      <c r="R166" s="8"/>
    </row>
    <row r="167" ht="15.75" customHeight="1">
      <c r="A167" s="8">
        <v>166.0</v>
      </c>
      <c r="B167" s="8" t="s">
        <v>219</v>
      </c>
      <c r="C167" s="8" t="s">
        <v>219</v>
      </c>
      <c r="D167" s="10" t="s">
        <v>220</v>
      </c>
      <c r="E167" s="8" t="s">
        <v>40</v>
      </c>
      <c r="F167" s="8" t="s">
        <v>41</v>
      </c>
      <c r="G167" s="8" t="s">
        <v>43</v>
      </c>
      <c r="H167" s="8" t="s">
        <v>43</v>
      </c>
      <c r="I167" s="8" t="s">
        <v>43</v>
      </c>
      <c r="J167" s="8"/>
      <c r="R167" s="8"/>
    </row>
    <row r="168" ht="15.75" customHeight="1">
      <c r="A168" s="8">
        <v>167.0</v>
      </c>
      <c r="B168" s="8" t="s">
        <v>219</v>
      </c>
      <c r="C168" s="8" t="s">
        <v>219</v>
      </c>
      <c r="D168" s="10" t="s">
        <v>221</v>
      </c>
      <c r="E168" s="8" t="s">
        <v>40</v>
      </c>
      <c r="F168" s="8" t="s">
        <v>41</v>
      </c>
      <c r="G168" s="8" t="s">
        <v>43</v>
      </c>
      <c r="H168" s="8" t="s">
        <v>43</v>
      </c>
      <c r="I168" s="8" t="s">
        <v>43</v>
      </c>
      <c r="J168" s="8"/>
      <c r="R168" s="8"/>
    </row>
    <row r="169" ht="15.75" customHeight="1">
      <c r="A169" s="8">
        <v>168.0</v>
      </c>
      <c r="B169" s="8" t="s">
        <v>219</v>
      </c>
      <c r="C169" s="8" t="s">
        <v>219</v>
      </c>
      <c r="D169" s="10" t="s">
        <v>222</v>
      </c>
      <c r="E169" s="8" t="s">
        <v>40</v>
      </c>
      <c r="F169" s="8" t="s">
        <v>46</v>
      </c>
      <c r="G169" s="8" t="s">
        <v>43</v>
      </c>
      <c r="H169" s="8" t="s">
        <v>43</v>
      </c>
      <c r="I169" s="8" t="s">
        <v>43</v>
      </c>
      <c r="J169" s="8"/>
      <c r="R169" s="8"/>
    </row>
    <row r="170" ht="15.75" customHeight="1">
      <c r="A170" s="8">
        <v>169.0</v>
      </c>
      <c r="B170" s="8" t="s">
        <v>219</v>
      </c>
      <c r="C170" s="8" t="s">
        <v>219</v>
      </c>
      <c r="D170" s="10" t="s">
        <v>223</v>
      </c>
      <c r="E170" s="8" t="s">
        <v>40</v>
      </c>
      <c r="F170" s="8" t="s">
        <v>41</v>
      </c>
      <c r="G170" s="8" t="s">
        <v>43</v>
      </c>
      <c r="H170" s="8" t="s">
        <v>43</v>
      </c>
      <c r="I170" s="8" t="s">
        <v>43</v>
      </c>
      <c r="J170" s="8"/>
      <c r="R170" s="8"/>
    </row>
    <row r="171" ht="15.75" customHeight="1">
      <c r="A171" s="8">
        <v>170.0</v>
      </c>
      <c r="B171" s="8" t="s">
        <v>219</v>
      </c>
      <c r="C171" s="8" t="s">
        <v>219</v>
      </c>
      <c r="D171" s="10" t="s">
        <v>224</v>
      </c>
      <c r="E171" s="8" t="s">
        <v>40</v>
      </c>
      <c r="F171" s="8" t="s">
        <v>41</v>
      </c>
      <c r="G171" s="8" t="s">
        <v>43</v>
      </c>
      <c r="H171" s="8" t="s">
        <v>43</v>
      </c>
      <c r="I171" s="8" t="s">
        <v>43</v>
      </c>
      <c r="J171" s="8"/>
      <c r="R171" s="8"/>
    </row>
    <row r="172" ht="15.75" customHeight="1">
      <c r="A172" s="8">
        <v>171.0</v>
      </c>
      <c r="B172" s="8" t="s">
        <v>219</v>
      </c>
      <c r="C172" s="8" t="s">
        <v>219</v>
      </c>
      <c r="D172" s="10" t="s">
        <v>225</v>
      </c>
      <c r="E172" s="8" t="s">
        <v>40</v>
      </c>
      <c r="F172" s="8" t="s">
        <v>46</v>
      </c>
      <c r="G172" s="8" t="s">
        <v>43</v>
      </c>
      <c r="H172" s="8" t="s">
        <v>43</v>
      </c>
      <c r="I172" s="8" t="s">
        <v>43</v>
      </c>
      <c r="J172" s="8"/>
      <c r="R172" s="8"/>
    </row>
    <row r="173" ht="15.75" customHeight="1">
      <c r="A173" s="8">
        <v>172.0</v>
      </c>
      <c r="B173" s="8" t="s">
        <v>219</v>
      </c>
      <c r="C173" s="8" t="s">
        <v>219</v>
      </c>
      <c r="D173" s="10" t="s">
        <v>226</v>
      </c>
      <c r="E173" s="8" t="s">
        <v>40</v>
      </c>
      <c r="F173" s="8" t="s">
        <v>41</v>
      </c>
      <c r="G173" s="8" t="s">
        <v>43</v>
      </c>
      <c r="H173" s="8" t="s">
        <v>43</v>
      </c>
      <c r="I173" s="8" t="s">
        <v>43</v>
      </c>
      <c r="J173" s="8"/>
      <c r="R173" s="8"/>
    </row>
    <row r="174" ht="15.75" customHeight="1">
      <c r="A174" s="8">
        <v>173.0</v>
      </c>
      <c r="B174" s="8" t="s">
        <v>219</v>
      </c>
      <c r="C174" s="8" t="s">
        <v>219</v>
      </c>
      <c r="D174" s="10" t="s">
        <v>227</v>
      </c>
      <c r="E174" s="8" t="s">
        <v>40</v>
      </c>
      <c r="F174" s="8" t="s">
        <v>41</v>
      </c>
      <c r="G174" s="8" t="s">
        <v>43</v>
      </c>
      <c r="H174" s="8" t="s">
        <v>43</v>
      </c>
      <c r="I174" s="8" t="s">
        <v>43</v>
      </c>
      <c r="J174" s="8"/>
      <c r="R174" s="8"/>
    </row>
    <row r="175" ht="15.75" customHeight="1">
      <c r="A175" s="8">
        <v>174.0</v>
      </c>
      <c r="B175" s="8" t="s">
        <v>219</v>
      </c>
      <c r="C175" s="8" t="s">
        <v>219</v>
      </c>
      <c r="D175" s="10" t="s">
        <v>228</v>
      </c>
      <c r="E175" s="8" t="s">
        <v>40</v>
      </c>
      <c r="F175" s="8" t="s">
        <v>46</v>
      </c>
      <c r="G175" s="8" t="s">
        <v>43</v>
      </c>
      <c r="H175" s="8" t="s">
        <v>43</v>
      </c>
      <c r="I175" s="8" t="s">
        <v>43</v>
      </c>
      <c r="J175" s="8"/>
      <c r="R175" s="8"/>
    </row>
    <row r="176" ht="15.75" customHeight="1">
      <c r="A176" s="8">
        <v>175.0</v>
      </c>
      <c r="B176" s="8" t="s">
        <v>219</v>
      </c>
      <c r="C176" s="8" t="s">
        <v>219</v>
      </c>
      <c r="D176" s="10" t="s">
        <v>229</v>
      </c>
      <c r="E176" s="8" t="s">
        <v>40</v>
      </c>
      <c r="F176" s="8" t="s">
        <v>41</v>
      </c>
      <c r="G176" s="8" t="s">
        <v>43</v>
      </c>
      <c r="H176" s="8" t="s">
        <v>43</v>
      </c>
      <c r="I176" s="8" t="s">
        <v>43</v>
      </c>
      <c r="J176" s="8"/>
      <c r="R176" s="8"/>
    </row>
    <row r="177" ht="15.75" customHeight="1">
      <c r="A177" s="8">
        <v>176.0</v>
      </c>
      <c r="B177" s="8" t="s">
        <v>219</v>
      </c>
      <c r="C177" s="8" t="s">
        <v>219</v>
      </c>
      <c r="D177" s="10" t="s">
        <v>230</v>
      </c>
      <c r="E177" s="8" t="s">
        <v>40</v>
      </c>
      <c r="F177" s="8" t="s">
        <v>41</v>
      </c>
      <c r="G177" s="8" t="s">
        <v>43</v>
      </c>
      <c r="H177" s="8" t="s">
        <v>43</v>
      </c>
      <c r="I177" s="8" t="s">
        <v>43</v>
      </c>
      <c r="J177" s="8"/>
      <c r="R177" s="8"/>
    </row>
    <row r="178" ht="15.75" customHeight="1">
      <c r="A178" s="8">
        <v>177.0</v>
      </c>
      <c r="B178" s="8" t="s">
        <v>219</v>
      </c>
      <c r="C178" s="8" t="s">
        <v>219</v>
      </c>
      <c r="D178" s="10" t="s">
        <v>231</v>
      </c>
      <c r="E178" s="8" t="s">
        <v>40</v>
      </c>
      <c r="F178" s="8" t="s">
        <v>46</v>
      </c>
      <c r="G178" s="8" t="s">
        <v>43</v>
      </c>
      <c r="H178" s="8" t="s">
        <v>43</v>
      </c>
      <c r="I178" s="8" t="s">
        <v>43</v>
      </c>
      <c r="J178" s="8"/>
      <c r="R178" s="8"/>
    </row>
    <row r="179" ht="15.75" customHeight="1">
      <c r="A179" s="8">
        <v>178.0</v>
      </c>
      <c r="B179" s="8" t="s">
        <v>219</v>
      </c>
      <c r="C179" s="8" t="s">
        <v>219</v>
      </c>
      <c r="D179" s="10" t="s">
        <v>232</v>
      </c>
      <c r="E179" s="8" t="s">
        <v>40</v>
      </c>
      <c r="F179" s="8" t="s">
        <v>41</v>
      </c>
      <c r="G179" s="8" t="s">
        <v>43</v>
      </c>
      <c r="H179" s="8" t="s">
        <v>43</v>
      </c>
      <c r="I179" s="8" t="s">
        <v>43</v>
      </c>
      <c r="J179" s="8"/>
      <c r="R179" s="8"/>
    </row>
    <row r="180" ht="15.75" customHeight="1">
      <c r="A180" s="8">
        <v>179.0</v>
      </c>
      <c r="B180" s="8" t="s">
        <v>219</v>
      </c>
      <c r="C180" s="8" t="s">
        <v>219</v>
      </c>
      <c r="D180" s="10" t="s">
        <v>233</v>
      </c>
      <c r="E180" s="8" t="s">
        <v>40</v>
      </c>
      <c r="F180" s="8" t="s">
        <v>41</v>
      </c>
      <c r="G180" s="8" t="s">
        <v>43</v>
      </c>
      <c r="H180" s="8" t="s">
        <v>43</v>
      </c>
      <c r="I180" s="8" t="s">
        <v>43</v>
      </c>
      <c r="J180" s="8"/>
      <c r="R180" s="8"/>
    </row>
    <row r="181" ht="15.75" customHeight="1">
      <c r="A181" s="8">
        <v>180.0</v>
      </c>
      <c r="B181" s="8" t="s">
        <v>219</v>
      </c>
      <c r="C181" s="8" t="s">
        <v>219</v>
      </c>
      <c r="D181" s="10" t="s">
        <v>234</v>
      </c>
      <c r="E181" s="8" t="s">
        <v>40</v>
      </c>
      <c r="F181" s="8" t="s">
        <v>46</v>
      </c>
      <c r="G181" s="8" t="s">
        <v>43</v>
      </c>
      <c r="H181" s="8" t="s">
        <v>43</v>
      </c>
      <c r="I181" s="8" t="s">
        <v>43</v>
      </c>
      <c r="J181" s="8"/>
      <c r="R181" s="8"/>
    </row>
    <row r="182" ht="15.75" customHeight="1">
      <c r="A182" s="8">
        <v>181.0</v>
      </c>
      <c r="B182" s="8" t="s">
        <v>219</v>
      </c>
      <c r="C182" s="8" t="s">
        <v>219</v>
      </c>
      <c r="D182" s="10" t="s">
        <v>235</v>
      </c>
      <c r="E182" s="8" t="s">
        <v>40</v>
      </c>
      <c r="F182" s="8" t="s">
        <v>41</v>
      </c>
      <c r="G182" s="8" t="s">
        <v>43</v>
      </c>
      <c r="H182" s="8" t="s">
        <v>43</v>
      </c>
      <c r="I182" s="8" t="s">
        <v>43</v>
      </c>
      <c r="J182" s="8"/>
      <c r="R182" s="8"/>
    </row>
    <row r="183" ht="15.75" customHeight="1">
      <c r="A183" s="8">
        <v>182.0</v>
      </c>
      <c r="B183" s="8" t="s">
        <v>219</v>
      </c>
      <c r="C183" s="8" t="s">
        <v>219</v>
      </c>
      <c r="D183" s="10" t="s">
        <v>236</v>
      </c>
      <c r="E183" s="8" t="s">
        <v>40</v>
      </c>
      <c r="F183" s="8" t="s">
        <v>41</v>
      </c>
      <c r="G183" s="8" t="s">
        <v>43</v>
      </c>
      <c r="H183" s="8" t="s">
        <v>43</v>
      </c>
      <c r="I183" s="8" t="s">
        <v>43</v>
      </c>
      <c r="J183" s="8"/>
      <c r="R183" s="8"/>
    </row>
    <row r="184" ht="15.75" customHeight="1">
      <c r="A184" s="8">
        <v>183.0</v>
      </c>
      <c r="B184" s="8" t="s">
        <v>219</v>
      </c>
      <c r="C184" s="8" t="s">
        <v>219</v>
      </c>
      <c r="D184" s="10" t="s">
        <v>237</v>
      </c>
      <c r="E184" s="8" t="s">
        <v>40</v>
      </c>
      <c r="F184" s="8" t="s">
        <v>46</v>
      </c>
      <c r="G184" s="8" t="s">
        <v>43</v>
      </c>
      <c r="H184" s="8" t="s">
        <v>43</v>
      </c>
      <c r="I184" s="8" t="s">
        <v>43</v>
      </c>
      <c r="J184" s="8"/>
      <c r="R184" s="8"/>
    </row>
    <row r="185" ht="15.75" customHeight="1">
      <c r="A185" s="8">
        <v>184.0</v>
      </c>
      <c r="B185" s="8" t="s">
        <v>219</v>
      </c>
      <c r="C185" s="8" t="s">
        <v>219</v>
      </c>
      <c r="D185" s="10" t="s">
        <v>238</v>
      </c>
      <c r="E185" s="8" t="s">
        <v>40</v>
      </c>
      <c r="F185" s="8" t="s">
        <v>41</v>
      </c>
      <c r="G185" s="8" t="s">
        <v>43</v>
      </c>
      <c r="H185" s="8" t="s">
        <v>43</v>
      </c>
      <c r="I185" s="8" t="s">
        <v>43</v>
      </c>
      <c r="J185" s="8"/>
      <c r="R185" s="8"/>
    </row>
    <row r="186" ht="15.75" customHeight="1">
      <c r="A186" s="8">
        <v>185.0</v>
      </c>
      <c r="B186" s="8" t="s">
        <v>219</v>
      </c>
      <c r="C186" s="8" t="s">
        <v>219</v>
      </c>
      <c r="D186" s="10" t="s">
        <v>239</v>
      </c>
      <c r="E186" s="8" t="s">
        <v>40</v>
      </c>
      <c r="F186" s="8" t="s">
        <v>41</v>
      </c>
      <c r="G186" s="8" t="s">
        <v>43</v>
      </c>
      <c r="H186" s="8" t="s">
        <v>43</v>
      </c>
      <c r="I186" s="8" t="s">
        <v>43</v>
      </c>
      <c r="J186" s="8"/>
      <c r="R186" s="8"/>
    </row>
    <row r="187" ht="15.75" customHeight="1">
      <c r="A187" s="8">
        <v>186.0</v>
      </c>
      <c r="B187" s="8" t="s">
        <v>219</v>
      </c>
      <c r="C187" s="8" t="s">
        <v>219</v>
      </c>
      <c r="D187" s="10" t="s">
        <v>240</v>
      </c>
      <c r="E187" s="8" t="s">
        <v>40</v>
      </c>
      <c r="F187" s="8" t="s">
        <v>46</v>
      </c>
      <c r="G187" s="8" t="s">
        <v>43</v>
      </c>
      <c r="H187" s="8" t="s">
        <v>43</v>
      </c>
      <c r="I187" s="8" t="s">
        <v>43</v>
      </c>
      <c r="J187" s="8"/>
      <c r="R187" s="8"/>
    </row>
    <row r="188" ht="15.75" customHeight="1">
      <c r="A188" s="8">
        <v>187.0</v>
      </c>
      <c r="B188" s="8" t="s">
        <v>219</v>
      </c>
      <c r="C188" s="8" t="s">
        <v>219</v>
      </c>
      <c r="D188" s="10" t="s">
        <v>241</v>
      </c>
      <c r="E188" s="8" t="s">
        <v>40</v>
      </c>
      <c r="F188" s="8" t="s">
        <v>41</v>
      </c>
      <c r="G188" s="8" t="s">
        <v>43</v>
      </c>
      <c r="H188" s="8" t="s">
        <v>43</v>
      </c>
      <c r="I188" s="8" t="s">
        <v>43</v>
      </c>
      <c r="J188" s="8"/>
      <c r="R188" s="8"/>
    </row>
    <row r="189" ht="15.75" customHeight="1">
      <c r="A189" s="8">
        <v>188.0</v>
      </c>
      <c r="B189" s="8" t="s">
        <v>219</v>
      </c>
      <c r="C189" s="8" t="s">
        <v>219</v>
      </c>
      <c r="D189" s="10" t="s">
        <v>242</v>
      </c>
      <c r="E189" s="8" t="s">
        <v>40</v>
      </c>
      <c r="F189" s="8" t="s">
        <v>41</v>
      </c>
      <c r="G189" s="8" t="s">
        <v>43</v>
      </c>
      <c r="H189" s="8" t="s">
        <v>43</v>
      </c>
      <c r="I189" s="8" t="s">
        <v>43</v>
      </c>
      <c r="J189" s="8"/>
      <c r="R189" s="8"/>
    </row>
    <row r="190" ht="15.75" customHeight="1">
      <c r="A190" s="8">
        <v>189.0</v>
      </c>
      <c r="B190" s="8" t="s">
        <v>219</v>
      </c>
      <c r="C190" s="8" t="s">
        <v>219</v>
      </c>
      <c r="D190" s="10" t="s">
        <v>243</v>
      </c>
      <c r="E190" s="8" t="s">
        <v>40</v>
      </c>
      <c r="F190" s="8" t="s">
        <v>46</v>
      </c>
      <c r="G190" s="8" t="s">
        <v>43</v>
      </c>
      <c r="H190" s="8" t="s">
        <v>43</v>
      </c>
      <c r="I190" s="8" t="s">
        <v>43</v>
      </c>
      <c r="J190" s="8"/>
      <c r="R190" s="8"/>
    </row>
    <row r="191" ht="15.75" customHeight="1">
      <c r="A191" s="8">
        <v>190.0</v>
      </c>
      <c r="B191" s="8" t="s">
        <v>219</v>
      </c>
      <c r="C191" s="8" t="s">
        <v>219</v>
      </c>
      <c r="D191" s="10" t="s">
        <v>244</v>
      </c>
      <c r="E191" s="8" t="s">
        <v>40</v>
      </c>
      <c r="F191" s="8" t="s">
        <v>41</v>
      </c>
      <c r="G191" s="8" t="s">
        <v>43</v>
      </c>
      <c r="H191" s="8" t="s">
        <v>43</v>
      </c>
      <c r="I191" s="8" t="s">
        <v>43</v>
      </c>
      <c r="J191" s="8"/>
      <c r="R191" s="8"/>
    </row>
    <row r="192" ht="15.75" customHeight="1">
      <c r="A192" s="8">
        <v>191.0</v>
      </c>
      <c r="B192" s="8" t="s">
        <v>245</v>
      </c>
      <c r="C192" s="8" t="s">
        <v>246</v>
      </c>
      <c r="D192" s="10" t="s">
        <v>247</v>
      </c>
      <c r="E192" s="8" t="s">
        <v>40</v>
      </c>
      <c r="F192" s="8" t="s">
        <v>41</v>
      </c>
      <c r="G192" s="8" t="s">
        <v>43</v>
      </c>
      <c r="H192" s="8" t="s">
        <v>43</v>
      </c>
      <c r="I192" s="8" t="s">
        <v>43</v>
      </c>
      <c r="J192" s="8"/>
      <c r="R192" s="8"/>
    </row>
    <row r="193" ht="15.75" customHeight="1">
      <c r="A193" s="8">
        <v>192.0</v>
      </c>
      <c r="B193" s="8" t="s">
        <v>245</v>
      </c>
      <c r="C193" s="8" t="s">
        <v>246</v>
      </c>
      <c r="D193" s="10" t="s">
        <v>248</v>
      </c>
      <c r="E193" s="8" t="s">
        <v>40</v>
      </c>
      <c r="F193" s="8" t="s">
        <v>46</v>
      </c>
      <c r="G193" s="8" t="s">
        <v>43</v>
      </c>
      <c r="H193" s="8" t="s">
        <v>43</v>
      </c>
      <c r="I193" s="8" t="s">
        <v>43</v>
      </c>
      <c r="J193" s="8"/>
      <c r="R193" s="8"/>
    </row>
    <row r="194" ht="15.75" customHeight="1">
      <c r="A194" s="8">
        <v>193.0</v>
      </c>
      <c r="B194" s="8" t="s">
        <v>245</v>
      </c>
      <c r="C194" s="8" t="s">
        <v>246</v>
      </c>
      <c r="D194" s="10" t="s">
        <v>249</v>
      </c>
      <c r="E194" s="8" t="s">
        <v>40</v>
      </c>
      <c r="F194" s="8" t="s">
        <v>41</v>
      </c>
      <c r="G194" s="8" t="s">
        <v>43</v>
      </c>
      <c r="H194" s="8" t="s">
        <v>43</v>
      </c>
      <c r="I194" s="8" t="s">
        <v>43</v>
      </c>
      <c r="J194" s="8"/>
      <c r="R194" s="8"/>
    </row>
    <row r="195" ht="15.75" customHeight="1">
      <c r="A195" s="8">
        <v>194.0</v>
      </c>
      <c r="B195" s="8" t="s">
        <v>245</v>
      </c>
      <c r="C195" s="8" t="s">
        <v>246</v>
      </c>
      <c r="D195" s="10" t="s">
        <v>250</v>
      </c>
      <c r="E195" s="8" t="s">
        <v>40</v>
      </c>
      <c r="F195" s="8" t="s">
        <v>41</v>
      </c>
      <c r="G195" s="8" t="s">
        <v>43</v>
      </c>
      <c r="H195" s="8" t="s">
        <v>43</v>
      </c>
      <c r="I195" s="8" t="s">
        <v>43</v>
      </c>
      <c r="J195" s="8"/>
      <c r="R195" s="8"/>
    </row>
    <row r="196" ht="15.75" customHeight="1">
      <c r="A196" s="8">
        <v>195.0</v>
      </c>
      <c r="B196" s="8" t="s">
        <v>245</v>
      </c>
      <c r="C196" s="8" t="s">
        <v>246</v>
      </c>
      <c r="D196" s="10" t="s">
        <v>251</v>
      </c>
      <c r="E196" s="8" t="s">
        <v>40</v>
      </c>
      <c r="F196" s="8" t="s">
        <v>46</v>
      </c>
      <c r="G196" s="8" t="s">
        <v>43</v>
      </c>
      <c r="H196" s="8" t="s">
        <v>43</v>
      </c>
      <c r="I196" s="8" t="s">
        <v>43</v>
      </c>
      <c r="J196" s="8"/>
      <c r="R196" s="8"/>
    </row>
    <row r="197" ht="15.75" customHeight="1">
      <c r="A197" s="8">
        <v>196.0</v>
      </c>
      <c r="B197" s="8" t="s">
        <v>245</v>
      </c>
      <c r="C197" s="8" t="s">
        <v>246</v>
      </c>
      <c r="D197" s="10" t="s">
        <v>252</v>
      </c>
      <c r="E197" s="8" t="s">
        <v>40</v>
      </c>
      <c r="F197" s="8" t="s">
        <v>41</v>
      </c>
      <c r="G197" s="8" t="s">
        <v>43</v>
      </c>
      <c r="H197" s="8" t="s">
        <v>43</v>
      </c>
      <c r="I197" s="8" t="s">
        <v>43</v>
      </c>
      <c r="J197" s="8"/>
      <c r="R197" s="8"/>
    </row>
    <row r="198" ht="15.75" customHeight="1">
      <c r="A198" s="8">
        <v>197.0</v>
      </c>
      <c r="B198" s="8" t="s">
        <v>245</v>
      </c>
      <c r="C198" s="8" t="s">
        <v>246</v>
      </c>
      <c r="D198" s="10" t="s">
        <v>253</v>
      </c>
      <c r="E198" s="8" t="s">
        <v>40</v>
      </c>
      <c r="F198" s="8" t="s">
        <v>41</v>
      </c>
      <c r="G198" s="8" t="s">
        <v>43</v>
      </c>
      <c r="H198" s="8" t="s">
        <v>43</v>
      </c>
      <c r="I198" s="8" t="s">
        <v>43</v>
      </c>
      <c r="J198" s="8"/>
      <c r="R198" s="8"/>
    </row>
    <row r="199" ht="15.75" customHeight="1">
      <c r="A199" s="8">
        <v>198.0</v>
      </c>
      <c r="B199" s="8" t="s">
        <v>245</v>
      </c>
      <c r="C199" s="8" t="s">
        <v>246</v>
      </c>
      <c r="D199" s="10" t="s">
        <v>254</v>
      </c>
      <c r="E199" s="8" t="s">
        <v>40</v>
      </c>
      <c r="F199" s="8" t="s">
        <v>46</v>
      </c>
      <c r="G199" s="8" t="s">
        <v>43</v>
      </c>
      <c r="H199" s="8" t="s">
        <v>43</v>
      </c>
      <c r="I199" s="8" t="s">
        <v>43</v>
      </c>
      <c r="J199" s="8"/>
      <c r="R199" s="8"/>
    </row>
    <row r="200" ht="15.75" customHeight="1">
      <c r="A200" s="8">
        <v>199.0</v>
      </c>
      <c r="B200" s="8" t="s">
        <v>245</v>
      </c>
      <c r="C200" s="8" t="s">
        <v>246</v>
      </c>
      <c r="D200" s="10" t="s">
        <v>255</v>
      </c>
      <c r="E200" s="8" t="s">
        <v>40</v>
      </c>
      <c r="F200" s="8" t="s">
        <v>41</v>
      </c>
      <c r="G200" s="8" t="s">
        <v>43</v>
      </c>
      <c r="H200" s="8" t="s">
        <v>43</v>
      </c>
      <c r="I200" s="8" t="s">
        <v>43</v>
      </c>
      <c r="J200" s="8"/>
      <c r="R200" s="8"/>
    </row>
    <row r="201" ht="15.75" customHeight="1">
      <c r="A201" s="8">
        <v>200.0</v>
      </c>
      <c r="B201" s="8" t="s">
        <v>245</v>
      </c>
      <c r="C201" s="8" t="s">
        <v>246</v>
      </c>
      <c r="D201" s="10" t="s">
        <v>256</v>
      </c>
      <c r="E201" s="8" t="s">
        <v>40</v>
      </c>
      <c r="F201" s="8" t="s">
        <v>41</v>
      </c>
      <c r="G201" s="8" t="s">
        <v>43</v>
      </c>
      <c r="H201" s="8" t="s">
        <v>43</v>
      </c>
      <c r="I201" s="8" t="s">
        <v>43</v>
      </c>
      <c r="J201" s="8"/>
      <c r="R201" s="8"/>
    </row>
    <row r="202" ht="15.75" customHeight="1">
      <c r="A202" s="8">
        <v>201.0</v>
      </c>
      <c r="B202" s="8" t="s">
        <v>245</v>
      </c>
      <c r="C202" s="8" t="s">
        <v>246</v>
      </c>
      <c r="D202" s="10" t="s">
        <v>257</v>
      </c>
      <c r="E202" s="8" t="s">
        <v>40</v>
      </c>
      <c r="F202" s="8" t="s">
        <v>46</v>
      </c>
      <c r="G202" s="8" t="s">
        <v>43</v>
      </c>
      <c r="H202" s="8" t="s">
        <v>43</v>
      </c>
      <c r="I202" s="8" t="s">
        <v>43</v>
      </c>
      <c r="J202" s="8"/>
      <c r="R202" s="8"/>
    </row>
    <row r="203" ht="15.75" customHeight="1">
      <c r="A203" s="8">
        <v>202.0</v>
      </c>
      <c r="B203" s="8" t="s">
        <v>245</v>
      </c>
      <c r="C203" s="8" t="s">
        <v>246</v>
      </c>
      <c r="D203" s="10" t="s">
        <v>258</v>
      </c>
      <c r="E203" s="8" t="s">
        <v>40</v>
      </c>
      <c r="F203" s="8" t="s">
        <v>41</v>
      </c>
      <c r="G203" s="8" t="s">
        <v>43</v>
      </c>
      <c r="H203" s="8" t="s">
        <v>43</v>
      </c>
      <c r="I203" s="8" t="s">
        <v>43</v>
      </c>
      <c r="J203" s="8"/>
      <c r="R203" s="8"/>
    </row>
    <row r="204" ht="15.75" customHeight="1">
      <c r="A204" s="8">
        <v>203.0</v>
      </c>
      <c r="B204" s="8" t="s">
        <v>245</v>
      </c>
      <c r="C204" s="8" t="s">
        <v>246</v>
      </c>
      <c r="D204" s="10" t="s">
        <v>259</v>
      </c>
      <c r="E204" s="8" t="s">
        <v>40</v>
      </c>
      <c r="F204" s="8" t="s">
        <v>41</v>
      </c>
      <c r="G204" s="8" t="s">
        <v>43</v>
      </c>
      <c r="H204" s="8" t="s">
        <v>43</v>
      </c>
      <c r="I204" s="8" t="s">
        <v>43</v>
      </c>
      <c r="J204" s="8"/>
      <c r="R204" s="8"/>
    </row>
    <row r="205" ht="15.75" customHeight="1">
      <c r="A205" s="8">
        <v>204.0</v>
      </c>
      <c r="B205" s="8" t="s">
        <v>245</v>
      </c>
      <c r="C205" s="8" t="s">
        <v>246</v>
      </c>
      <c r="D205" s="10" t="s">
        <v>260</v>
      </c>
      <c r="E205" s="8" t="s">
        <v>40</v>
      </c>
      <c r="F205" s="8" t="s">
        <v>46</v>
      </c>
      <c r="G205" s="8" t="s">
        <v>43</v>
      </c>
      <c r="H205" s="8" t="s">
        <v>43</v>
      </c>
      <c r="I205" s="8" t="s">
        <v>43</v>
      </c>
      <c r="J205" s="8"/>
      <c r="R205" s="8"/>
    </row>
    <row r="206" ht="15.75" customHeight="1">
      <c r="A206" s="8">
        <v>205.0</v>
      </c>
      <c r="B206" s="8" t="s">
        <v>245</v>
      </c>
      <c r="C206" s="8" t="s">
        <v>246</v>
      </c>
      <c r="D206" s="10" t="s">
        <v>261</v>
      </c>
      <c r="E206" s="8" t="s">
        <v>40</v>
      </c>
      <c r="F206" s="8" t="s">
        <v>41</v>
      </c>
      <c r="G206" s="8" t="s">
        <v>43</v>
      </c>
      <c r="H206" s="8" t="s">
        <v>43</v>
      </c>
      <c r="I206" s="8" t="s">
        <v>43</v>
      </c>
      <c r="J206" s="8"/>
      <c r="R206" s="8"/>
    </row>
    <row r="207" ht="15.75" customHeight="1">
      <c r="A207" s="8">
        <v>206.0</v>
      </c>
      <c r="B207" s="8" t="s">
        <v>245</v>
      </c>
      <c r="C207" s="8" t="s">
        <v>246</v>
      </c>
      <c r="D207" s="10" t="s">
        <v>262</v>
      </c>
      <c r="E207" s="8" t="s">
        <v>40</v>
      </c>
      <c r="F207" s="8" t="s">
        <v>41</v>
      </c>
      <c r="G207" s="8" t="s">
        <v>43</v>
      </c>
      <c r="H207" s="8" t="s">
        <v>43</v>
      </c>
      <c r="I207" s="8" t="s">
        <v>43</v>
      </c>
      <c r="J207" s="8"/>
      <c r="R207" s="8"/>
    </row>
    <row r="208" ht="15.75" customHeight="1">
      <c r="A208" s="8">
        <v>207.0</v>
      </c>
      <c r="B208" s="8" t="s">
        <v>245</v>
      </c>
      <c r="C208" s="8" t="s">
        <v>246</v>
      </c>
      <c r="D208" s="10" t="s">
        <v>263</v>
      </c>
      <c r="E208" s="8" t="s">
        <v>40</v>
      </c>
      <c r="F208" s="8" t="s">
        <v>46</v>
      </c>
      <c r="G208" s="8" t="s">
        <v>43</v>
      </c>
      <c r="H208" s="8" t="s">
        <v>43</v>
      </c>
      <c r="I208" s="8" t="s">
        <v>43</v>
      </c>
      <c r="J208" s="8"/>
      <c r="R208" s="8"/>
    </row>
    <row r="209" ht="15.75" customHeight="1">
      <c r="A209" s="8">
        <v>208.0</v>
      </c>
      <c r="B209" s="8" t="s">
        <v>245</v>
      </c>
      <c r="C209" s="8" t="s">
        <v>246</v>
      </c>
      <c r="D209" s="10" t="s">
        <v>264</v>
      </c>
      <c r="E209" s="8" t="s">
        <v>40</v>
      </c>
      <c r="F209" s="8" t="s">
        <v>41</v>
      </c>
      <c r="G209" s="8" t="s">
        <v>43</v>
      </c>
      <c r="H209" s="8" t="s">
        <v>43</v>
      </c>
      <c r="I209" s="8" t="s">
        <v>43</v>
      </c>
      <c r="J209" s="8"/>
      <c r="R209" s="8"/>
    </row>
    <row r="210" ht="15.75" customHeight="1">
      <c r="A210" s="8">
        <v>209.0</v>
      </c>
      <c r="B210" s="8" t="s">
        <v>245</v>
      </c>
      <c r="C210" s="8" t="s">
        <v>246</v>
      </c>
      <c r="D210" s="10" t="s">
        <v>265</v>
      </c>
      <c r="E210" s="8" t="s">
        <v>40</v>
      </c>
      <c r="F210" s="8" t="s">
        <v>41</v>
      </c>
      <c r="G210" s="8" t="s">
        <v>43</v>
      </c>
      <c r="H210" s="8" t="s">
        <v>43</v>
      </c>
      <c r="I210" s="8" t="s">
        <v>43</v>
      </c>
      <c r="J210" s="8"/>
      <c r="R210" s="8"/>
    </row>
    <row r="211" ht="15.75" customHeight="1">
      <c r="A211" s="8">
        <v>210.0</v>
      </c>
      <c r="B211" s="8" t="s">
        <v>245</v>
      </c>
      <c r="C211" s="8" t="s">
        <v>246</v>
      </c>
      <c r="D211" s="10" t="s">
        <v>266</v>
      </c>
      <c r="E211" s="8" t="s">
        <v>40</v>
      </c>
      <c r="F211" s="8" t="s">
        <v>46</v>
      </c>
      <c r="G211" s="8" t="s">
        <v>43</v>
      </c>
      <c r="H211" s="8" t="s">
        <v>43</v>
      </c>
      <c r="I211" s="8" t="s">
        <v>43</v>
      </c>
      <c r="J211" s="8"/>
      <c r="R211" s="8"/>
    </row>
    <row r="212" ht="15.75" customHeight="1">
      <c r="A212" s="8">
        <v>211.0</v>
      </c>
      <c r="B212" s="8" t="s">
        <v>245</v>
      </c>
      <c r="C212" s="8" t="s">
        <v>246</v>
      </c>
      <c r="D212" s="10" t="s">
        <v>267</v>
      </c>
      <c r="E212" s="8" t="s">
        <v>40</v>
      </c>
      <c r="F212" s="8" t="s">
        <v>41</v>
      </c>
      <c r="G212" s="8" t="s">
        <v>43</v>
      </c>
      <c r="H212" s="8" t="s">
        <v>43</v>
      </c>
      <c r="I212" s="8" t="s">
        <v>43</v>
      </c>
      <c r="J212" s="8"/>
      <c r="R212" s="8"/>
    </row>
    <row r="213" ht="15.75" customHeight="1">
      <c r="A213" s="8">
        <v>212.0</v>
      </c>
      <c r="B213" s="8" t="s">
        <v>245</v>
      </c>
      <c r="C213" s="8" t="s">
        <v>246</v>
      </c>
      <c r="D213" s="10" t="s">
        <v>268</v>
      </c>
      <c r="E213" s="8" t="s">
        <v>40</v>
      </c>
      <c r="F213" s="8" t="s">
        <v>41</v>
      </c>
      <c r="G213" s="8" t="s">
        <v>43</v>
      </c>
      <c r="H213" s="8" t="s">
        <v>43</v>
      </c>
      <c r="I213" s="8" t="s">
        <v>43</v>
      </c>
      <c r="J213" s="8"/>
      <c r="R213" s="8"/>
    </row>
    <row r="214" ht="15.75" customHeight="1">
      <c r="A214" s="8">
        <v>213.0</v>
      </c>
      <c r="B214" s="8" t="s">
        <v>245</v>
      </c>
      <c r="C214" s="8" t="s">
        <v>246</v>
      </c>
      <c r="D214" s="10" t="s">
        <v>269</v>
      </c>
      <c r="E214" s="8" t="s">
        <v>40</v>
      </c>
      <c r="F214" s="8" t="s">
        <v>46</v>
      </c>
      <c r="G214" s="8" t="s">
        <v>43</v>
      </c>
      <c r="H214" s="8" t="s">
        <v>43</v>
      </c>
      <c r="I214" s="8" t="s">
        <v>43</v>
      </c>
      <c r="J214" s="8"/>
      <c r="R214" s="8"/>
    </row>
    <row r="215" ht="15.75" customHeight="1">
      <c r="A215" s="8">
        <v>214.0</v>
      </c>
      <c r="B215" s="8" t="s">
        <v>245</v>
      </c>
      <c r="C215" s="8" t="s">
        <v>246</v>
      </c>
      <c r="D215" s="10" t="s">
        <v>270</v>
      </c>
      <c r="E215" s="8" t="s">
        <v>40</v>
      </c>
      <c r="F215" s="8" t="s">
        <v>41</v>
      </c>
      <c r="G215" s="8" t="s">
        <v>43</v>
      </c>
      <c r="H215" s="8" t="s">
        <v>43</v>
      </c>
      <c r="I215" s="8" t="s">
        <v>43</v>
      </c>
      <c r="J215" s="8"/>
      <c r="R215" s="8"/>
    </row>
    <row r="216" ht="15.75" customHeight="1">
      <c r="A216" s="8">
        <v>215.0</v>
      </c>
      <c r="B216" s="8" t="s">
        <v>245</v>
      </c>
      <c r="C216" s="8" t="s">
        <v>246</v>
      </c>
      <c r="D216" s="10" t="s">
        <v>271</v>
      </c>
      <c r="E216" s="8" t="s">
        <v>40</v>
      </c>
      <c r="F216" s="8" t="s">
        <v>41</v>
      </c>
      <c r="G216" s="8" t="s">
        <v>43</v>
      </c>
      <c r="H216" s="8" t="s">
        <v>43</v>
      </c>
      <c r="I216" s="8" t="s">
        <v>43</v>
      </c>
      <c r="J216" s="8"/>
      <c r="R216" s="8"/>
    </row>
    <row r="217" ht="15.75" customHeight="1">
      <c r="A217" s="8">
        <v>216.0</v>
      </c>
      <c r="B217" s="8" t="s">
        <v>272</v>
      </c>
      <c r="C217" s="8" t="s">
        <v>272</v>
      </c>
      <c r="D217" s="10" t="s">
        <v>273</v>
      </c>
      <c r="E217" s="8" t="s">
        <v>40</v>
      </c>
      <c r="F217" s="8" t="s">
        <v>46</v>
      </c>
      <c r="G217" s="8" t="s">
        <v>43</v>
      </c>
      <c r="H217" s="8" t="s">
        <v>43</v>
      </c>
      <c r="I217" s="8" t="s">
        <v>43</v>
      </c>
      <c r="J217" s="8"/>
      <c r="R217" s="8"/>
    </row>
    <row r="218" ht="15.75" customHeight="1">
      <c r="A218" s="8">
        <v>217.0</v>
      </c>
      <c r="B218" s="8" t="s">
        <v>272</v>
      </c>
      <c r="C218" s="8" t="s">
        <v>272</v>
      </c>
      <c r="D218" s="10" t="s">
        <v>274</v>
      </c>
      <c r="E218" s="8" t="s">
        <v>40</v>
      </c>
      <c r="F218" s="8" t="s">
        <v>41</v>
      </c>
      <c r="G218" s="8" t="s">
        <v>43</v>
      </c>
      <c r="H218" s="8" t="s">
        <v>43</v>
      </c>
      <c r="I218" s="8" t="s">
        <v>43</v>
      </c>
      <c r="J218" s="8"/>
      <c r="R218" s="8"/>
    </row>
    <row r="219" ht="15.75" customHeight="1">
      <c r="A219" s="8">
        <v>218.0</v>
      </c>
      <c r="B219" s="8" t="s">
        <v>272</v>
      </c>
      <c r="C219" s="8" t="s">
        <v>272</v>
      </c>
      <c r="D219" s="10" t="s">
        <v>275</v>
      </c>
      <c r="E219" s="8" t="s">
        <v>40</v>
      </c>
      <c r="F219" s="8" t="s">
        <v>41</v>
      </c>
      <c r="G219" s="8" t="s">
        <v>43</v>
      </c>
      <c r="H219" s="8" t="s">
        <v>43</v>
      </c>
      <c r="I219" s="8" t="s">
        <v>43</v>
      </c>
      <c r="J219" s="8"/>
      <c r="R219" s="8"/>
    </row>
    <row r="220" ht="15.75" customHeight="1">
      <c r="A220" s="8">
        <v>219.0</v>
      </c>
      <c r="B220" s="8" t="s">
        <v>272</v>
      </c>
      <c r="C220" s="8" t="s">
        <v>272</v>
      </c>
      <c r="D220" s="10" t="s">
        <v>276</v>
      </c>
      <c r="E220" s="8" t="s">
        <v>40</v>
      </c>
      <c r="F220" s="8" t="s">
        <v>46</v>
      </c>
      <c r="G220" s="8" t="s">
        <v>43</v>
      </c>
      <c r="H220" s="8" t="s">
        <v>43</v>
      </c>
      <c r="I220" s="8" t="s">
        <v>43</v>
      </c>
      <c r="J220" s="8"/>
      <c r="R220" s="8"/>
    </row>
    <row r="221" ht="15.75" customHeight="1">
      <c r="A221" s="8">
        <v>220.0</v>
      </c>
      <c r="B221" s="8" t="s">
        <v>272</v>
      </c>
      <c r="C221" s="8" t="s">
        <v>272</v>
      </c>
      <c r="D221" s="10" t="s">
        <v>277</v>
      </c>
      <c r="E221" s="8" t="s">
        <v>40</v>
      </c>
      <c r="F221" s="8" t="s">
        <v>41</v>
      </c>
      <c r="G221" s="8" t="s">
        <v>43</v>
      </c>
      <c r="H221" s="8" t="s">
        <v>43</v>
      </c>
      <c r="I221" s="8" t="s">
        <v>43</v>
      </c>
      <c r="J221" s="8"/>
      <c r="R221" s="8"/>
    </row>
    <row r="222" ht="15.75" customHeight="1">
      <c r="A222" s="8">
        <v>221.0</v>
      </c>
      <c r="B222" s="8" t="s">
        <v>272</v>
      </c>
      <c r="C222" s="8" t="s">
        <v>272</v>
      </c>
      <c r="D222" s="10" t="s">
        <v>278</v>
      </c>
      <c r="E222" s="8" t="s">
        <v>40</v>
      </c>
      <c r="F222" s="8" t="s">
        <v>41</v>
      </c>
      <c r="G222" s="8" t="s">
        <v>43</v>
      </c>
      <c r="H222" s="8" t="s">
        <v>43</v>
      </c>
      <c r="I222" s="8" t="s">
        <v>43</v>
      </c>
      <c r="J222" s="8"/>
      <c r="R222" s="8"/>
    </row>
    <row r="223" ht="15.75" customHeight="1">
      <c r="A223" s="8">
        <v>222.0</v>
      </c>
      <c r="B223" s="8" t="s">
        <v>272</v>
      </c>
      <c r="C223" s="8" t="s">
        <v>272</v>
      </c>
      <c r="D223" s="10" t="s">
        <v>279</v>
      </c>
      <c r="E223" s="8" t="s">
        <v>40</v>
      </c>
      <c r="F223" s="8" t="s">
        <v>46</v>
      </c>
      <c r="G223" s="8" t="s">
        <v>43</v>
      </c>
      <c r="H223" s="8" t="s">
        <v>43</v>
      </c>
      <c r="I223" s="8" t="s">
        <v>43</v>
      </c>
      <c r="J223" s="8"/>
      <c r="R223" s="8"/>
    </row>
    <row r="224" ht="15.75" customHeight="1">
      <c r="A224" s="8">
        <v>223.0</v>
      </c>
      <c r="B224" s="8" t="s">
        <v>272</v>
      </c>
      <c r="C224" s="8" t="s">
        <v>272</v>
      </c>
      <c r="D224" s="10" t="s">
        <v>280</v>
      </c>
      <c r="E224" s="8" t="s">
        <v>40</v>
      </c>
      <c r="F224" s="8" t="s">
        <v>41</v>
      </c>
      <c r="G224" s="8" t="s">
        <v>43</v>
      </c>
      <c r="H224" s="8" t="s">
        <v>43</v>
      </c>
      <c r="I224" s="8" t="s">
        <v>43</v>
      </c>
      <c r="J224" s="8"/>
      <c r="R224" s="8"/>
    </row>
    <row r="225" ht="15.75" customHeight="1">
      <c r="A225" s="8">
        <v>224.0</v>
      </c>
      <c r="B225" s="8" t="s">
        <v>272</v>
      </c>
      <c r="C225" s="8" t="s">
        <v>272</v>
      </c>
      <c r="D225" s="10" t="s">
        <v>281</v>
      </c>
      <c r="E225" s="8" t="s">
        <v>40</v>
      </c>
      <c r="F225" s="8" t="s">
        <v>41</v>
      </c>
      <c r="G225" s="8" t="s">
        <v>43</v>
      </c>
      <c r="H225" s="8" t="s">
        <v>43</v>
      </c>
      <c r="I225" s="8" t="s">
        <v>43</v>
      </c>
      <c r="J225" s="8"/>
      <c r="R225" s="8"/>
    </row>
    <row r="226" ht="15.75" customHeight="1">
      <c r="A226" s="8">
        <v>225.0</v>
      </c>
      <c r="B226" s="8" t="s">
        <v>272</v>
      </c>
      <c r="C226" s="8" t="s">
        <v>272</v>
      </c>
      <c r="D226" s="10" t="s">
        <v>282</v>
      </c>
      <c r="E226" s="8" t="s">
        <v>40</v>
      </c>
      <c r="F226" s="8" t="s">
        <v>46</v>
      </c>
      <c r="G226" s="8" t="s">
        <v>43</v>
      </c>
      <c r="H226" s="8" t="s">
        <v>43</v>
      </c>
      <c r="I226" s="8" t="s">
        <v>43</v>
      </c>
      <c r="J226" s="8"/>
      <c r="R226" s="8"/>
    </row>
    <row r="227" ht="15.75" customHeight="1">
      <c r="A227" s="8">
        <v>226.0</v>
      </c>
      <c r="B227" s="8" t="s">
        <v>272</v>
      </c>
      <c r="C227" s="8" t="s">
        <v>272</v>
      </c>
      <c r="D227" s="10" t="s">
        <v>283</v>
      </c>
      <c r="E227" s="8" t="s">
        <v>40</v>
      </c>
      <c r="F227" s="8" t="s">
        <v>41</v>
      </c>
      <c r="G227" s="8" t="s">
        <v>43</v>
      </c>
      <c r="H227" s="8" t="s">
        <v>43</v>
      </c>
      <c r="I227" s="8" t="s">
        <v>43</v>
      </c>
      <c r="J227" s="8"/>
      <c r="R227" s="8"/>
    </row>
    <row r="228" ht="15.75" customHeight="1">
      <c r="A228" s="8">
        <v>227.0</v>
      </c>
      <c r="B228" s="8" t="s">
        <v>272</v>
      </c>
      <c r="C228" s="8" t="s">
        <v>272</v>
      </c>
      <c r="D228" s="10" t="s">
        <v>284</v>
      </c>
      <c r="E228" s="8" t="s">
        <v>40</v>
      </c>
      <c r="F228" s="8" t="s">
        <v>41</v>
      </c>
      <c r="G228" s="8" t="s">
        <v>43</v>
      </c>
      <c r="H228" s="8" t="s">
        <v>43</v>
      </c>
      <c r="I228" s="8" t="s">
        <v>43</v>
      </c>
      <c r="J228" s="8"/>
      <c r="R228" s="8"/>
    </row>
    <row r="229" ht="15.75" customHeight="1">
      <c r="A229" s="8">
        <v>228.0</v>
      </c>
      <c r="B229" s="8" t="s">
        <v>272</v>
      </c>
      <c r="C229" s="8" t="s">
        <v>272</v>
      </c>
      <c r="D229" s="10" t="s">
        <v>285</v>
      </c>
      <c r="E229" s="8" t="s">
        <v>40</v>
      </c>
      <c r="F229" s="8" t="s">
        <v>46</v>
      </c>
      <c r="G229" s="8" t="s">
        <v>43</v>
      </c>
      <c r="H229" s="8" t="s">
        <v>43</v>
      </c>
      <c r="I229" s="8" t="s">
        <v>43</v>
      </c>
      <c r="J229" s="8"/>
      <c r="R229" s="8"/>
    </row>
    <row r="230" ht="15.75" customHeight="1">
      <c r="A230" s="8">
        <v>229.0</v>
      </c>
      <c r="B230" s="8" t="s">
        <v>272</v>
      </c>
      <c r="C230" s="8" t="s">
        <v>272</v>
      </c>
      <c r="D230" s="10" t="s">
        <v>286</v>
      </c>
      <c r="E230" s="8" t="s">
        <v>40</v>
      </c>
      <c r="F230" s="8" t="s">
        <v>41</v>
      </c>
      <c r="G230" s="8" t="s">
        <v>43</v>
      </c>
      <c r="H230" s="8" t="s">
        <v>43</v>
      </c>
      <c r="I230" s="8" t="s">
        <v>43</v>
      </c>
      <c r="J230" s="8"/>
      <c r="R230" s="8"/>
    </row>
    <row r="231" ht="15.75" customHeight="1">
      <c r="A231" s="8">
        <v>230.0</v>
      </c>
      <c r="B231" s="8" t="s">
        <v>272</v>
      </c>
      <c r="C231" s="8" t="s">
        <v>272</v>
      </c>
      <c r="D231" s="10" t="s">
        <v>287</v>
      </c>
      <c r="E231" s="8" t="s">
        <v>40</v>
      </c>
      <c r="F231" s="8" t="s">
        <v>41</v>
      </c>
      <c r="G231" s="8" t="s">
        <v>43</v>
      </c>
      <c r="H231" s="8" t="s">
        <v>43</v>
      </c>
      <c r="I231" s="8" t="s">
        <v>43</v>
      </c>
      <c r="J231" s="8"/>
      <c r="R231" s="8"/>
    </row>
    <row r="232" ht="15.75" customHeight="1">
      <c r="A232" s="8">
        <v>231.0</v>
      </c>
      <c r="B232" s="8" t="s">
        <v>272</v>
      </c>
      <c r="C232" s="8" t="s">
        <v>272</v>
      </c>
      <c r="D232" s="10" t="s">
        <v>288</v>
      </c>
      <c r="E232" s="8" t="s">
        <v>40</v>
      </c>
      <c r="F232" s="8" t="s">
        <v>46</v>
      </c>
      <c r="G232" s="8" t="s">
        <v>43</v>
      </c>
      <c r="H232" s="8" t="s">
        <v>43</v>
      </c>
      <c r="I232" s="8" t="s">
        <v>43</v>
      </c>
      <c r="J232" s="8"/>
      <c r="R232" s="8"/>
    </row>
    <row r="233" ht="15.75" customHeight="1">
      <c r="A233" s="8">
        <v>232.0</v>
      </c>
      <c r="B233" s="8" t="s">
        <v>272</v>
      </c>
      <c r="C233" s="8" t="s">
        <v>272</v>
      </c>
      <c r="D233" s="10" t="s">
        <v>289</v>
      </c>
      <c r="E233" s="8" t="s">
        <v>40</v>
      </c>
      <c r="F233" s="8" t="s">
        <v>41</v>
      </c>
      <c r="G233" s="8" t="s">
        <v>43</v>
      </c>
      <c r="H233" s="8" t="s">
        <v>43</v>
      </c>
      <c r="I233" s="8" t="s">
        <v>43</v>
      </c>
      <c r="J233" s="8"/>
      <c r="R233" s="8"/>
    </row>
    <row r="234" ht="15.75" customHeight="1">
      <c r="A234" s="8">
        <v>233.0</v>
      </c>
      <c r="B234" s="8" t="s">
        <v>272</v>
      </c>
      <c r="C234" s="8" t="s">
        <v>272</v>
      </c>
      <c r="D234" s="10" t="s">
        <v>290</v>
      </c>
      <c r="E234" s="8" t="s">
        <v>40</v>
      </c>
      <c r="F234" s="8" t="s">
        <v>41</v>
      </c>
      <c r="G234" s="8" t="s">
        <v>43</v>
      </c>
      <c r="H234" s="8" t="s">
        <v>43</v>
      </c>
      <c r="I234" s="8" t="s">
        <v>43</v>
      </c>
      <c r="J234" s="8"/>
      <c r="R234" s="8"/>
    </row>
    <row r="235" ht="15.75" customHeight="1">
      <c r="A235" s="8">
        <v>234.0</v>
      </c>
      <c r="B235" s="8" t="s">
        <v>272</v>
      </c>
      <c r="C235" s="8" t="s">
        <v>272</v>
      </c>
      <c r="D235" s="10" t="s">
        <v>291</v>
      </c>
      <c r="E235" s="8" t="s">
        <v>40</v>
      </c>
      <c r="F235" s="8" t="s">
        <v>46</v>
      </c>
      <c r="G235" s="8" t="s">
        <v>43</v>
      </c>
      <c r="H235" s="8" t="s">
        <v>43</v>
      </c>
      <c r="I235" s="8" t="s">
        <v>43</v>
      </c>
      <c r="J235" s="8"/>
      <c r="R235" s="8"/>
    </row>
    <row r="236" ht="15.75" customHeight="1">
      <c r="A236" s="8">
        <v>235.0</v>
      </c>
      <c r="B236" s="8" t="s">
        <v>272</v>
      </c>
      <c r="C236" s="8" t="s">
        <v>272</v>
      </c>
      <c r="D236" s="10" t="s">
        <v>292</v>
      </c>
      <c r="E236" s="8" t="s">
        <v>40</v>
      </c>
      <c r="F236" s="8" t="s">
        <v>41</v>
      </c>
      <c r="G236" s="8" t="s">
        <v>43</v>
      </c>
      <c r="H236" s="8" t="s">
        <v>43</v>
      </c>
      <c r="I236" s="8" t="s">
        <v>43</v>
      </c>
      <c r="J236" s="8"/>
      <c r="R236" s="8"/>
    </row>
    <row r="237" ht="15.75" customHeight="1">
      <c r="A237" s="8">
        <v>236.0</v>
      </c>
      <c r="B237" s="8" t="s">
        <v>272</v>
      </c>
      <c r="C237" s="8" t="s">
        <v>272</v>
      </c>
      <c r="D237" s="10" t="s">
        <v>293</v>
      </c>
      <c r="E237" s="8" t="s">
        <v>40</v>
      </c>
      <c r="F237" s="8" t="s">
        <v>41</v>
      </c>
      <c r="G237" s="8" t="s">
        <v>43</v>
      </c>
      <c r="H237" s="8" t="s">
        <v>43</v>
      </c>
      <c r="I237" s="8" t="s">
        <v>43</v>
      </c>
      <c r="J237" s="8"/>
      <c r="R237" s="8"/>
    </row>
    <row r="238" ht="15.75" customHeight="1">
      <c r="A238" s="8">
        <v>237.0</v>
      </c>
      <c r="B238" s="8" t="s">
        <v>272</v>
      </c>
      <c r="C238" s="8" t="s">
        <v>272</v>
      </c>
      <c r="D238" s="10" t="s">
        <v>294</v>
      </c>
      <c r="E238" s="8" t="s">
        <v>40</v>
      </c>
      <c r="F238" s="8" t="s">
        <v>46</v>
      </c>
      <c r="G238" s="8" t="s">
        <v>43</v>
      </c>
      <c r="H238" s="8" t="s">
        <v>43</v>
      </c>
      <c r="I238" s="8" t="s">
        <v>43</v>
      </c>
      <c r="J238" s="8"/>
      <c r="R238" s="8"/>
    </row>
    <row r="239" ht="15.75" customHeight="1">
      <c r="A239" s="8">
        <v>238.0</v>
      </c>
      <c r="B239" s="8" t="s">
        <v>272</v>
      </c>
      <c r="C239" s="8" t="s">
        <v>272</v>
      </c>
      <c r="D239" s="10" t="s">
        <v>295</v>
      </c>
      <c r="E239" s="8" t="s">
        <v>40</v>
      </c>
      <c r="F239" s="8" t="s">
        <v>41</v>
      </c>
      <c r="G239" s="8" t="s">
        <v>43</v>
      </c>
      <c r="H239" s="8" t="s">
        <v>43</v>
      </c>
      <c r="I239" s="8" t="s">
        <v>43</v>
      </c>
      <c r="J239" s="8"/>
      <c r="R239" s="8"/>
    </row>
    <row r="240" ht="15.75" customHeight="1">
      <c r="A240" s="8">
        <v>239.0</v>
      </c>
      <c r="B240" s="8" t="s">
        <v>272</v>
      </c>
      <c r="C240" s="8" t="s">
        <v>272</v>
      </c>
      <c r="D240" s="10" t="s">
        <v>296</v>
      </c>
      <c r="E240" s="8" t="s">
        <v>40</v>
      </c>
      <c r="F240" s="8" t="s">
        <v>41</v>
      </c>
      <c r="G240" s="8" t="s">
        <v>43</v>
      </c>
      <c r="H240" s="8" t="s">
        <v>43</v>
      </c>
      <c r="I240" s="8" t="s">
        <v>43</v>
      </c>
      <c r="J240" s="8"/>
      <c r="R240" s="8"/>
    </row>
    <row r="241" ht="15.75" customHeight="1">
      <c r="A241" s="8">
        <v>240.0</v>
      </c>
      <c r="B241" s="8" t="s">
        <v>272</v>
      </c>
      <c r="C241" s="8" t="s">
        <v>272</v>
      </c>
      <c r="D241" s="10" t="s">
        <v>297</v>
      </c>
      <c r="E241" s="8" t="s">
        <v>40</v>
      </c>
      <c r="F241" s="8" t="s">
        <v>46</v>
      </c>
      <c r="G241" s="8" t="s">
        <v>43</v>
      </c>
      <c r="H241" s="8" t="s">
        <v>43</v>
      </c>
      <c r="I241" s="8" t="s">
        <v>43</v>
      </c>
      <c r="J241" s="8"/>
      <c r="R241" s="8"/>
    </row>
    <row r="242" ht="15.75" customHeight="1">
      <c r="A242" s="8">
        <v>241.0</v>
      </c>
      <c r="B242" s="8" t="s">
        <v>298</v>
      </c>
      <c r="C242" s="8" t="s">
        <v>298</v>
      </c>
      <c r="D242" s="10" t="s">
        <v>299</v>
      </c>
      <c r="E242" s="8" t="s">
        <v>40</v>
      </c>
      <c r="F242" s="8" t="s">
        <v>41</v>
      </c>
      <c r="G242" s="8" t="s">
        <v>43</v>
      </c>
      <c r="H242" s="8" t="s">
        <v>43</v>
      </c>
      <c r="I242" s="8" t="s">
        <v>43</v>
      </c>
      <c r="J242" s="8"/>
      <c r="R242" s="8"/>
    </row>
    <row r="243" ht="15.75" customHeight="1">
      <c r="A243" s="8">
        <v>242.0</v>
      </c>
      <c r="B243" s="8" t="s">
        <v>298</v>
      </c>
      <c r="C243" s="8" t="s">
        <v>298</v>
      </c>
      <c r="D243" s="10" t="s">
        <v>300</v>
      </c>
      <c r="E243" s="8" t="s">
        <v>40</v>
      </c>
      <c r="F243" s="8" t="s">
        <v>41</v>
      </c>
      <c r="G243" s="8" t="s">
        <v>43</v>
      </c>
      <c r="H243" s="8" t="s">
        <v>43</v>
      </c>
      <c r="I243" s="8" t="s">
        <v>43</v>
      </c>
      <c r="J243" s="8"/>
      <c r="R243" s="8"/>
    </row>
    <row r="244" ht="15.75" customHeight="1">
      <c r="A244" s="8">
        <v>243.0</v>
      </c>
      <c r="B244" s="8" t="s">
        <v>298</v>
      </c>
      <c r="C244" s="8" t="s">
        <v>298</v>
      </c>
      <c r="D244" s="10" t="s">
        <v>301</v>
      </c>
      <c r="E244" s="8" t="s">
        <v>40</v>
      </c>
      <c r="F244" s="8" t="s">
        <v>46</v>
      </c>
      <c r="G244" s="8" t="s">
        <v>43</v>
      </c>
      <c r="H244" s="8" t="s">
        <v>43</v>
      </c>
      <c r="I244" s="8" t="s">
        <v>43</v>
      </c>
      <c r="J244" s="8"/>
      <c r="R244" s="8"/>
    </row>
    <row r="245" ht="15.75" customHeight="1">
      <c r="A245" s="8">
        <v>244.0</v>
      </c>
      <c r="B245" s="8" t="s">
        <v>298</v>
      </c>
      <c r="C245" s="8" t="s">
        <v>298</v>
      </c>
      <c r="D245" s="10" t="s">
        <v>302</v>
      </c>
      <c r="E245" s="8" t="s">
        <v>40</v>
      </c>
      <c r="F245" s="8" t="s">
        <v>41</v>
      </c>
      <c r="G245" s="8" t="s">
        <v>43</v>
      </c>
      <c r="H245" s="8" t="s">
        <v>43</v>
      </c>
      <c r="I245" s="8" t="s">
        <v>43</v>
      </c>
      <c r="J245" s="8"/>
      <c r="R245" s="8"/>
    </row>
    <row r="246" ht="15.75" customHeight="1">
      <c r="A246" s="8">
        <v>245.0</v>
      </c>
      <c r="B246" s="8" t="s">
        <v>298</v>
      </c>
      <c r="C246" s="8" t="s">
        <v>298</v>
      </c>
      <c r="D246" s="10" t="s">
        <v>303</v>
      </c>
      <c r="E246" s="8" t="s">
        <v>40</v>
      </c>
      <c r="F246" s="8" t="s">
        <v>41</v>
      </c>
      <c r="G246" s="8" t="s">
        <v>43</v>
      </c>
      <c r="H246" s="8" t="s">
        <v>43</v>
      </c>
      <c r="I246" s="8" t="s">
        <v>43</v>
      </c>
      <c r="J246" s="8"/>
      <c r="R246" s="8"/>
    </row>
    <row r="247" ht="15.75" customHeight="1">
      <c r="A247" s="8">
        <v>246.0</v>
      </c>
      <c r="B247" s="8" t="s">
        <v>298</v>
      </c>
      <c r="C247" s="8" t="s">
        <v>298</v>
      </c>
      <c r="D247" s="10" t="s">
        <v>304</v>
      </c>
      <c r="E247" s="8" t="s">
        <v>40</v>
      </c>
      <c r="F247" s="8" t="s">
        <v>46</v>
      </c>
      <c r="G247" s="8" t="s">
        <v>43</v>
      </c>
      <c r="H247" s="8" t="s">
        <v>43</v>
      </c>
      <c r="I247" s="8" t="s">
        <v>43</v>
      </c>
      <c r="J247" s="8"/>
      <c r="R247" s="8"/>
    </row>
    <row r="248" ht="15.75" customHeight="1">
      <c r="A248" s="8">
        <v>247.0</v>
      </c>
      <c r="B248" s="8" t="s">
        <v>298</v>
      </c>
      <c r="C248" s="8" t="s">
        <v>298</v>
      </c>
      <c r="D248" s="10" t="s">
        <v>305</v>
      </c>
      <c r="E248" s="8" t="s">
        <v>40</v>
      </c>
      <c r="F248" s="8" t="s">
        <v>41</v>
      </c>
      <c r="G248" s="8" t="s">
        <v>43</v>
      </c>
      <c r="H248" s="8" t="s">
        <v>43</v>
      </c>
      <c r="I248" s="8" t="s">
        <v>43</v>
      </c>
      <c r="J248" s="8"/>
      <c r="R248" s="8"/>
    </row>
    <row r="249" ht="15.75" customHeight="1">
      <c r="A249" s="8">
        <v>248.0</v>
      </c>
      <c r="B249" s="8" t="s">
        <v>298</v>
      </c>
      <c r="C249" s="8" t="s">
        <v>298</v>
      </c>
      <c r="D249" s="10" t="s">
        <v>306</v>
      </c>
      <c r="E249" s="8" t="s">
        <v>40</v>
      </c>
      <c r="F249" s="8" t="s">
        <v>41</v>
      </c>
      <c r="G249" s="8" t="s">
        <v>43</v>
      </c>
      <c r="H249" s="8" t="s">
        <v>43</v>
      </c>
      <c r="I249" s="8" t="s">
        <v>43</v>
      </c>
      <c r="J249" s="8"/>
      <c r="R249" s="8"/>
    </row>
    <row r="250" ht="15.75" customHeight="1">
      <c r="A250" s="8">
        <v>249.0</v>
      </c>
      <c r="B250" s="8" t="s">
        <v>298</v>
      </c>
      <c r="C250" s="8" t="s">
        <v>298</v>
      </c>
      <c r="D250" s="10" t="s">
        <v>307</v>
      </c>
      <c r="E250" s="8" t="s">
        <v>40</v>
      </c>
      <c r="F250" s="8" t="s">
        <v>46</v>
      </c>
      <c r="G250" s="8" t="s">
        <v>43</v>
      </c>
      <c r="H250" s="8" t="s">
        <v>43</v>
      </c>
      <c r="I250" s="8" t="s">
        <v>43</v>
      </c>
      <c r="J250" s="8"/>
      <c r="R250" s="8"/>
    </row>
    <row r="251" ht="15.75" customHeight="1">
      <c r="A251" s="8">
        <v>250.0</v>
      </c>
      <c r="B251" s="8" t="s">
        <v>298</v>
      </c>
      <c r="C251" s="8" t="s">
        <v>298</v>
      </c>
      <c r="D251" s="10" t="s">
        <v>308</v>
      </c>
      <c r="E251" s="8" t="s">
        <v>40</v>
      </c>
      <c r="F251" s="8" t="s">
        <v>41</v>
      </c>
      <c r="G251" s="8" t="s">
        <v>43</v>
      </c>
      <c r="H251" s="8" t="s">
        <v>43</v>
      </c>
      <c r="I251" s="8" t="s">
        <v>43</v>
      </c>
      <c r="J251" s="8"/>
      <c r="R251" s="8"/>
    </row>
    <row r="252" ht="15.75" customHeight="1"/>
    <row r="253" ht="15.75" customHeight="1">
      <c r="B253" s="12" t="s">
        <v>309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R251">
    <cfRule type="expression" dxfId="0" priority="1">
      <formula>$I2="✅ Done"</formula>
    </cfRule>
  </conditionalFormatting>
  <conditionalFormatting sqref="J2:J251">
    <cfRule type="cellIs" dxfId="1" priority="2" operator="equal">
      <formula>"⭐ Repeat"</formula>
    </cfRule>
  </conditionalFormatting>
  <conditionalFormatting sqref="J2:J251">
    <cfRule type="cellIs" dxfId="2" priority="3" operator="equal">
      <formula>"🔥 Must Revise"</formula>
    </cfRule>
  </conditionalFormatting>
  <dataValidations>
    <dataValidation type="list" allowBlank="1" sqref="G2:I251">
      <formula1>"⏳ Not started,✅ Done,❌ Failed"</formula1>
    </dataValidation>
    <dataValidation type="list" allowBlank="1" sqref="R2:R251">
      <formula1>"😵 Lost,😐 Okay,💪 Strong"</formula1>
    </dataValidation>
    <dataValidation type="list" allowBlank="1" sqref="J2:J251">
      <formula1>"⭐ Repeat,🔥 Must Revise"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</hyperlinks>
  <printOptions/>
  <pageMargins bottom="1.0" footer="0.0" header="0.0" left="0.75" right="0.75" top="1.0"/>
  <pageSetup orientation="landscape"/>
  <drawing r:id="rId2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8.86"/>
    <col customWidth="1" min="4" max="4" width="30.0"/>
    <col customWidth="1" min="5" max="7" width="15.0"/>
    <col customWidth="1" min="8" max="26" width="8.86"/>
  </cols>
  <sheetData>
    <row r="1">
      <c r="A1" s="13" t="s">
        <v>310</v>
      </c>
      <c r="D1" s="13" t="s">
        <v>311</v>
      </c>
    </row>
    <row r="2">
      <c r="A2" s="7" t="s">
        <v>312</v>
      </c>
      <c r="B2" s="8">
        <v>250.0</v>
      </c>
      <c r="D2" s="7" t="s">
        <v>20</v>
      </c>
      <c r="E2" s="7" t="s">
        <v>313</v>
      </c>
      <c r="F2" s="7" t="s">
        <v>314</v>
      </c>
      <c r="G2" s="7" t="s">
        <v>315</v>
      </c>
    </row>
    <row r="3">
      <c r="A3" s="7" t="s">
        <v>316</v>
      </c>
      <c r="B3" s="8">
        <f>250 - COUNTIF(Roadmap_250!G2:G251, "⏳ Not started")</f>
        <v>1</v>
      </c>
      <c r="D3" s="8" t="s">
        <v>37</v>
      </c>
      <c r="E3" s="8">
        <f>COUNTIF(Roadmap_250!B2:B251, "Basics &amp; Math")</f>
        <v>15</v>
      </c>
      <c r="F3" s="11">
        <v>0.0</v>
      </c>
      <c r="G3" s="8">
        <f t="shared" ref="G3:G14" si="1">E3-F3</f>
        <v>15</v>
      </c>
    </row>
    <row r="4">
      <c r="A4" s="7" t="s">
        <v>317</v>
      </c>
      <c r="B4" s="8">
        <f>COUNTIF(Roadmap_250!I2:I251, "✅ Done")</f>
        <v>0</v>
      </c>
      <c r="D4" s="8" t="s">
        <v>59</v>
      </c>
      <c r="E4" s="8">
        <f>COUNTIF(Roadmap_250!B2:B251, "Arrays 1D &amp; 2D")</f>
        <v>40</v>
      </c>
      <c r="F4" s="8">
        <f>COUNTIFS(Roadmap_250!B2:B251, "Arrays 1D &amp; 2D", Roadmap_250!I2:I251, "✅ Done")</f>
        <v>0</v>
      </c>
      <c r="G4" s="8">
        <f t="shared" si="1"/>
        <v>40</v>
      </c>
    </row>
    <row r="5">
      <c r="A5" s="7" t="s">
        <v>318</v>
      </c>
      <c r="B5" s="8">
        <f>COUNTIF(Roadmap_250!J2:J251, "⭐ Repeat")</f>
        <v>0</v>
      </c>
      <c r="D5" s="8" t="s">
        <v>101</v>
      </c>
      <c r="E5" s="8">
        <f>COUNTIF(Roadmap_250!B2:B251, "Strings")</f>
        <v>20</v>
      </c>
      <c r="F5" s="8">
        <f>COUNTIFS(Roadmap_250!B2:B251, "Strings", Roadmap_250!I2:I251, "✅ Done")</f>
        <v>0</v>
      </c>
      <c r="G5" s="8">
        <f t="shared" si="1"/>
        <v>20</v>
      </c>
    </row>
    <row r="6">
      <c r="A6" s="7" t="s">
        <v>319</v>
      </c>
      <c r="B6" s="8">
        <f>COUNTIF(Roadmap_250!J2:J251, "🔥 Must Revise")</f>
        <v>0</v>
      </c>
      <c r="D6" s="8" t="s">
        <v>122</v>
      </c>
      <c r="E6" s="8">
        <f>COUNTIF(Roadmap_250!B2:B251, "Hashing / Maps / Sets")</f>
        <v>20</v>
      </c>
      <c r="F6" s="8">
        <f>COUNTIFS(Roadmap_250!B2:B251, "Hashing / Maps / Sets", Roadmap_250!I2:I251, "✅ Done")</f>
        <v>0</v>
      </c>
      <c r="G6" s="8">
        <f t="shared" si="1"/>
        <v>20</v>
      </c>
    </row>
    <row r="7">
      <c r="D7" s="8" t="s">
        <v>143</v>
      </c>
      <c r="E7" s="8">
        <f>COUNTIF(Roadmap_250!B2:B251, "Two Pointers &amp; Sliding Window")</f>
        <v>20</v>
      </c>
      <c r="F7" s="8">
        <f>COUNTIFS(Roadmap_250!B2:B251, "Two Pointers &amp; Sliding Window", Roadmap_250!I2:I251, "✅ Done")</f>
        <v>0</v>
      </c>
      <c r="G7" s="8">
        <f t="shared" si="1"/>
        <v>20</v>
      </c>
    </row>
    <row r="8">
      <c r="D8" s="8" t="s">
        <v>165</v>
      </c>
      <c r="E8" s="8">
        <f>COUNTIF(Roadmap_250!B2:B251, "Binary Search")</f>
        <v>20</v>
      </c>
      <c r="F8" s="8">
        <f>COUNTIFS(Roadmap_250!B2:B251, "Binary Search", Roadmap_250!I2:I251, "✅ Done")</f>
        <v>0</v>
      </c>
      <c r="G8" s="8">
        <f t="shared" si="1"/>
        <v>20</v>
      </c>
    </row>
    <row r="9">
      <c r="D9" s="8" t="s">
        <v>185</v>
      </c>
      <c r="E9" s="8">
        <f>COUNTIF(Roadmap_250!B2:B251, "Recursion &amp; Backtracking")</f>
        <v>15</v>
      </c>
      <c r="F9" s="8">
        <f>COUNTIFS(Roadmap_250!B2:B251, "Recursion &amp; Backtracking", Roadmap_250!I2:I251, "✅ Done")</f>
        <v>0</v>
      </c>
      <c r="G9" s="8">
        <f t="shared" si="1"/>
        <v>15</v>
      </c>
    </row>
    <row r="10">
      <c r="D10" s="8" t="s">
        <v>202</v>
      </c>
      <c r="E10" s="8">
        <f>COUNTIF(Roadmap_250!B2:B251, "Sorting &amp; Searching")</f>
        <v>15</v>
      </c>
      <c r="F10" s="8">
        <f>COUNTIFS(Roadmap_250!B2:B251, "Sorting &amp; Searching", Roadmap_250!I2:I251, "✅ Done")</f>
        <v>0</v>
      </c>
      <c r="G10" s="8">
        <f t="shared" si="1"/>
        <v>15</v>
      </c>
    </row>
    <row r="11">
      <c r="D11" s="8" t="s">
        <v>219</v>
      </c>
      <c r="E11" s="8">
        <f>COUNTIF(Roadmap_250!B2:B251, "Linked List")</f>
        <v>25</v>
      </c>
      <c r="F11" s="8">
        <f>COUNTIFS(Roadmap_250!B2:B251, "Linked List", Roadmap_250!I2:I251, "✅ Done")</f>
        <v>0</v>
      </c>
      <c r="G11" s="8">
        <f t="shared" si="1"/>
        <v>25</v>
      </c>
    </row>
    <row r="12">
      <c r="D12" s="8" t="s">
        <v>245</v>
      </c>
      <c r="E12" s="8">
        <f>COUNTIF(Roadmap_250!B2:B251, "Stack &amp; Queue")</f>
        <v>25</v>
      </c>
      <c r="F12" s="8">
        <f>COUNTIFS(Roadmap_250!B2:B251, "Stack &amp; Queue", Roadmap_250!I2:I251, "✅ Done")</f>
        <v>0</v>
      </c>
      <c r="G12" s="8">
        <f t="shared" si="1"/>
        <v>25</v>
      </c>
    </row>
    <row r="13">
      <c r="D13" s="8" t="s">
        <v>272</v>
      </c>
      <c r="E13" s="8">
        <f>COUNTIF(Roadmap_250!B2:B251, "Binary Trees")</f>
        <v>25</v>
      </c>
      <c r="F13" s="8">
        <f>COUNTIFS(Roadmap_250!B2:B251, "Binary Trees", Roadmap_250!I2:I251, "✅ Done")</f>
        <v>0</v>
      </c>
      <c r="G13" s="8">
        <f t="shared" si="1"/>
        <v>25</v>
      </c>
    </row>
    <row r="14">
      <c r="D14" s="8" t="s">
        <v>298</v>
      </c>
      <c r="E14" s="8">
        <f>COUNTIF(Roadmap_250!B2:B251, "Binary Search Trees")</f>
        <v>10</v>
      </c>
      <c r="F14" s="8">
        <f>COUNTIFS(Roadmap_250!B2:B251, "Binary Search Trees", Roadmap_250!I2:I251, "✅ Done")</f>
        <v>0</v>
      </c>
      <c r="G14" s="8">
        <f t="shared" si="1"/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00.0"/>
    <col customWidth="1" min="4" max="26" width="8.86"/>
  </cols>
  <sheetData>
    <row r="1">
      <c r="A1" s="14" t="s">
        <v>19</v>
      </c>
      <c r="B1" s="14" t="s">
        <v>22</v>
      </c>
      <c r="C1" s="14" t="s">
        <v>320</v>
      </c>
    </row>
    <row r="2" ht="45.0" customHeight="1">
      <c r="A2" s="8">
        <v>1.0</v>
      </c>
      <c r="B2" s="8" t="s">
        <v>39</v>
      </c>
      <c r="C2" s="15" t="s">
        <v>321</v>
      </c>
    </row>
    <row r="3" ht="45.0" customHeight="1">
      <c r="A3" s="8">
        <v>2.0</v>
      </c>
      <c r="B3" s="8" t="s">
        <v>44</v>
      </c>
      <c r="C3" s="15" t="s">
        <v>322</v>
      </c>
    </row>
    <row r="4" ht="45.0" customHeight="1">
      <c r="A4" s="8">
        <v>3.0</v>
      </c>
      <c r="B4" s="8" t="s">
        <v>45</v>
      </c>
      <c r="C4" s="15" t="s">
        <v>323</v>
      </c>
    </row>
    <row r="5" ht="45.0" customHeight="1">
      <c r="A5" s="8">
        <v>4.0</v>
      </c>
      <c r="B5" s="8" t="s">
        <v>47</v>
      </c>
      <c r="C5" s="15" t="s">
        <v>324</v>
      </c>
    </row>
    <row r="6" ht="45.0" customHeight="1">
      <c r="A6" s="8">
        <v>5.0</v>
      </c>
      <c r="B6" s="8" t="s">
        <v>48</v>
      </c>
      <c r="C6" s="15" t="s">
        <v>325</v>
      </c>
    </row>
    <row r="7" ht="45.0" customHeight="1">
      <c r="A7" s="8">
        <v>6.0</v>
      </c>
      <c r="B7" s="8" t="s">
        <v>49</v>
      </c>
      <c r="C7" s="15" t="s">
        <v>326</v>
      </c>
    </row>
    <row r="8" ht="45.0" customHeight="1">
      <c r="A8" s="8">
        <v>7.0</v>
      </c>
      <c r="B8" s="8" t="s">
        <v>50</v>
      </c>
      <c r="C8" s="15" t="s">
        <v>327</v>
      </c>
    </row>
    <row r="9" ht="45.0" customHeight="1">
      <c r="A9" s="8">
        <v>8.0</v>
      </c>
      <c r="B9" s="8" t="s">
        <v>51</v>
      </c>
      <c r="C9" s="15" t="s">
        <v>328</v>
      </c>
    </row>
    <row r="10" ht="45.0" customHeight="1">
      <c r="A10" s="8">
        <v>9.0</v>
      </c>
      <c r="B10" s="8" t="s">
        <v>52</v>
      </c>
      <c r="C10" s="15" t="s">
        <v>329</v>
      </c>
    </row>
    <row r="11" ht="45.0" customHeight="1">
      <c r="A11" s="8">
        <v>10.0</v>
      </c>
      <c r="B11" s="8" t="s">
        <v>53</v>
      </c>
      <c r="C11" s="15" t="s">
        <v>330</v>
      </c>
    </row>
    <row r="12" ht="45.0" customHeight="1">
      <c r="A12" s="8">
        <v>11.0</v>
      </c>
      <c r="B12" s="8" t="s">
        <v>54</v>
      </c>
      <c r="C12" s="15" t="s">
        <v>331</v>
      </c>
    </row>
    <row r="13" ht="45.0" customHeight="1">
      <c r="A13" s="8">
        <v>12.0</v>
      </c>
      <c r="B13" s="8" t="s">
        <v>55</v>
      </c>
      <c r="C13" s="15" t="s">
        <v>331</v>
      </c>
    </row>
    <row r="14" ht="45.0" customHeight="1">
      <c r="A14" s="8">
        <v>13.0</v>
      </c>
      <c r="B14" s="8" t="s">
        <v>56</v>
      </c>
      <c r="C14" s="15" t="s">
        <v>331</v>
      </c>
    </row>
    <row r="15" ht="45.0" customHeight="1">
      <c r="A15" s="8">
        <v>14.0</v>
      </c>
      <c r="B15" s="8" t="s">
        <v>57</v>
      </c>
      <c r="C15" s="15" t="s">
        <v>331</v>
      </c>
    </row>
    <row r="16" ht="45.0" customHeight="1">
      <c r="A16" s="8">
        <v>15.0</v>
      </c>
      <c r="B16" s="8" t="s">
        <v>58</v>
      </c>
      <c r="C16" s="15" t="s">
        <v>331</v>
      </c>
    </row>
    <row r="17" ht="45.0" customHeight="1">
      <c r="A17" s="8">
        <v>16.0</v>
      </c>
      <c r="B17" s="8" t="s">
        <v>61</v>
      </c>
      <c r="C17" s="15" t="s">
        <v>331</v>
      </c>
    </row>
    <row r="18" ht="45.0" customHeight="1">
      <c r="A18" s="8">
        <v>17.0</v>
      </c>
      <c r="B18" s="8" t="s">
        <v>62</v>
      </c>
      <c r="C18" s="15" t="s">
        <v>331</v>
      </c>
    </row>
    <row r="19" ht="45.0" customHeight="1">
      <c r="A19" s="8">
        <v>18.0</v>
      </c>
      <c r="B19" s="8" t="s">
        <v>63</v>
      </c>
      <c r="C19" s="15" t="s">
        <v>331</v>
      </c>
    </row>
    <row r="20" ht="45.0" customHeight="1">
      <c r="A20" s="8">
        <v>19.0</v>
      </c>
      <c r="B20" s="8" t="s">
        <v>64</v>
      </c>
      <c r="C20" s="15" t="s">
        <v>331</v>
      </c>
    </row>
    <row r="21" ht="45.0" customHeight="1">
      <c r="A21" s="8">
        <v>20.0</v>
      </c>
      <c r="B21" s="8" t="s">
        <v>65</v>
      </c>
      <c r="C21" s="15" t="s">
        <v>331</v>
      </c>
    </row>
    <row r="22" ht="45.0" customHeight="1">
      <c r="A22" s="8">
        <v>21.0</v>
      </c>
      <c r="B22" s="8" t="s">
        <v>66</v>
      </c>
      <c r="C22" s="15" t="s">
        <v>331</v>
      </c>
    </row>
    <row r="23" ht="45.0" customHeight="1">
      <c r="A23" s="8">
        <v>22.0</v>
      </c>
      <c r="B23" s="8" t="s">
        <v>67</v>
      </c>
      <c r="C23" s="15" t="s">
        <v>331</v>
      </c>
    </row>
    <row r="24" ht="45.0" customHeight="1">
      <c r="A24" s="8">
        <v>23.0</v>
      </c>
      <c r="B24" s="8" t="s">
        <v>68</v>
      </c>
      <c r="C24" s="15" t="s">
        <v>331</v>
      </c>
    </row>
    <row r="25" ht="45.0" customHeight="1">
      <c r="A25" s="8">
        <v>24.0</v>
      </c>
      <c r="B25" s="8" t="s">
        <v>69</v>
      </c>
      <c r="C25" s="15" t="s">
        <v>331</v>
      </c>
    </row>
    <row r="26" ht="45.0" customHeight="1">
      <c r="A26" s="8">
        <v>25.0</v>
      </c>
      <c r="B26" s="8" t="s">
        <v>70</v>
      </c>
      <c r="C26" s="15" t="s">
        <v>331</v>
      </c>
    </row>
    <row r="27" ht="45.0" customHeight="1">
      <c r="A27" s="8">
        <v>26.0</v>
      </c>
      <c r="B27" s="8" t="s">
        <v>71</v>
      </c>
      <c r="C27" s="15" t="s">
        <v>331</v>
      </c>
    </row>
    <row r="28" ht="45.0" customHeight="1">
      <c r="A28" s="8">
        <v>27.0</v>
      </c>
      <c r="B28" s="8" t="s">
        <v>72</v>
      </c>
      <c r="C28" s="15" t="s">
        <v>331</v>
      </c>
    </row>
    <row r="29" ht="45.0" customHeight="1">
      <c r="A29" s="8">
        <v>28.0</v>
      </c>
      <c r="B29" s="8" t="s">
        <v>73</v>
      </c>
      <c r="C29" s="15" t="s">
        <v>331</v>
      </c>
    </row>
    <row r="30" ht="45.0" customHeight="1">
      <c r="A30" s="8">
        <v>29.0</v>
      </c>
      <c r="B30" s="8" t="s">
        <v>74</v>
      </c>
      <c r="C30" s="15" t="s">
        <v>331</v>
      </c>
    </row>
    <row r="31" ht="45.0" customHeight="1">
      <c r="A31" s="8">
        <v>30.0</v>
      </c>
      <c r="B31" s="8" t="s">
        <v>75</v>
      </c>
      <c r="C31" s="15" t="s">
        <v>331</v>
      </c>
    </row>
    <row r="32" ht="45.0" customHeight="1">
      <c r="A32" s="8">
        <v>31.0</v>
      </c>
      <c r="B32" s="8" t="s">
        <v>76</v>
      </c>
      <c r="C32" s="15" t="s">
        <v>331</v>
      </c>
    </row>
    <row r="33" ht="45.0" customHeight="1">
      <c r="A33" s="8">
        <v>32.0</v>
      </c>
      <c r="B33" s="8" t="s">
        <v>77</v>
      </c>
      <c r="C33" s="15" t="s">
        <v>331</v>
      </c>
    </row>
    <row r="34" ht="45.0" customHeight="1">
      <c r="A34" s="8">
        <v>33.0</v>
      </c>
      <c r="B34" s="8" t="s">
        <v>78</v>
      </c>
      <c r="C34" s="15" t="s">
        <v>331</v>
      </c>
    </row>
    <row r="35" ht="45.0" customHeight="1">
      <c r="A35" s="8">
        <v>34.0</v>
      </c>
      <c r="B35" s="8" t="s">
        <v>79</v>
      </c>
      <c r="C35" s="15" t="s">
        <v>331</v>
      </c>
    </row>
    <row r="36" ht="45.0" customHeight="1">
      <c r="A36" s="8">
        <v>35.0</v>
      </c>
      <c r="B36" s="8" t="s">
        <v>80</v>
      </c>
      <c r="C36" s="15" t="s">
        <v>331</v>
      </c>
    </row>
    <row r="37" ht="45.0" customHeight="1">
      <c r="A37" s="8">
        <v>36.0</v>
      </c>
      <c r="B37" s="8" t="s">
        <v>81</v>
      </c>
      <c r="C37" s="15" t="s">
        <v>331</v>
      </c>
    </row>
    <row r="38" ht="45.0" customHeight="1">
      <c r="A38" s="8">
        <v>37.0</v>
      </c>
      <c r="B38" s="8" t="s">
        <v>82</v>
      </c>
      <c r="C38" s="15" t="s">
        <v>331</v>
      </c>
    </row>
    <row r="39" ht="45.0" customHeight="1">
      <c r="A39" s="8">
        <v>38.0</v>
      </c>
      <c r="B39" s="8" t="s">
        <v>83</v>
      </c>
      <c r="C39" s="15" t="s">
        <v>331</v>
      </c>
    </row>
    <row r="40" ht="45.0" customHeight="1">
      <c r="A40" s="8">
        <v>39.0</v>
      </c>
      <c r="B40" s="8" t="s">
        <v>84</v>
      </c>
      <c r="C40" s="15" t="s">
        <v>331</v>
      </c>
    </row>
    <row r="41" ht="45.0" customHeight="1">
      <c r="A41" s="8">
        <v>40.0</v>
      </c>
      <c r="B41" s="8" t="s">
        <v>85</v>
      </c>
      <c r="C41" s="15" t="s">
        <v>331</v>
      </c>
    </row>
    <row r="42" ht="45.0" customHeight="1">
      <c r="A42" s="8">
        <v>41.0</v>
      </c>
      <c r="B42" s="8" t="s">
        <v>86</v>
      </c>
      <c r="C42" s="15" t="s">
        <v>331</v>
      </c>
    </row>
    <row r="43" ht="45.0" customHeight="1">
      <c r="A43" s="8">
        <v>42.0</v>
      </c>
      <c r="B43" s="8" t="s">
        <v>87</v>
      </c>
      <c r="C43" s="15" t="s">
        <v>331</v>
      </c>
    </row>
    <row r="44" ht="45.0" customHeight="1">
      <c r="A44" s="8">
        <v>43.0</v>
      </c>
      <c r="B44" s="8" t="s">
        <v>88</v>
      </c>
      <c r="C44" s="15" t="s">
        <v>331</v>
      </c>
    </row>
    <row r="45" ht="45.0" customHeight="1">
      <c r="A45" s="8">
        <v>44.0</v>
      </c>
      <c r="B45" s="8" t="s">
        <v>89</v>
      </c>
      <c r="C45" s="15" t="s">
        <v>331</v>
      </c>
    </row>
    <row r="46" ht="45.0" customHeight="1">
      <c r="A46" s="8">
        <v>45.0</v>
      </c>
      <c r="B46" s="8" t="s">
        <v>90</v>
      </c>
      <c r="C46" s="15" t="s">
        <v>331</v>
      </c>
    </row>
    <row r="47" ht="45.0" customHeight="1">
      <c r="A47" s="8">
        <v>46.0</v>
      </c>
      <c r="B47" s="8" t="s">
        <v>91</v>
      </c>
      <c r="C47" s="15" t="s">
        <v>331</v>
      </c>
    </row>
    <row r="48" ht="45.0" customHeight="1">
      <c r="A48" s="8">
        <v>47.0</v>
      </c>
      <c r="B48" s="8" t="s">
        <v>92</v>
      </c>
      <c r="C48" s="15" t="s">
        <v>331</v>
      </c>
    </row>
    <row r="49" ht="45.0" customHeight="1">
      <c r="A49" s="8">
        <v>48.0</v>
      </c>
      <c r="B49" s="8" t="s">
        <v>93</v>
      </c>
      <c r="C49" s="15" t="s">
        <v>331</v>
      </c>
    </row>
    <row r="50" ht="45.0" customHeight="1">
      <c r="A50" s="8">
        <v>49.0</v>
      </c>
      <c r="B50" s="8" t="s">
        <v>94</v>
      </c>
      <c r="C50" s="15" t="s">
        <v>331</v>
      </c>
    </row>
    <row r="51" ht="45.0" customHeight="1">
      <c r="A51" s="8">
        <v>50.0</v>
      </c>
      <c r="B51" s="8" t="s">
        <v>95</v>
      </c>
      <c r="C51" s="15" t="s">
        <v>331</v>
      </c>
    </row>
    <row r="52" ht="45.0" customHeight="1">
      <c r="A52" s="8">
        <v>51.0</v>
      </c>
      <c r="B52" s="8" t="s">
        <v>96</v>
      </c>
      <c r="C52" s="15" t="s">
        <v>331</v>
      </c>
    </row>
    <row r="53" ht="45.0" customHeight="1">
      <c r="A53" s="8">
        <v>52.0</v>
      </c>
      <c r="B53" s="8" t="s">
        <v>97</v>
      </c>
      <c r="C53" s="15" t="s">
        <v>331</v>
      </c>
    </row>
    <row r="54" ht="45.0" customHeight="1">
      <c r="A54" s="8">
        <v>53.0</v>
      </c>
      <c r="B54" s="8" t="s">
        <v>98</v>
      </c>
      <c r="C54" s="15" t="s">
        <v>331</v>
      </c>
    </row>
    <row r="55" ht="45.0" customHeight="1">
      <c r="A55" s="8">
        <v>54.0</v>
      </c>
      <c r="B55" s="8" t="s">
        <v>99</v>
      </c>
      <c r="C55" s="15" t="s">
        <v>331</v>
      </c>
    </row>
    <row r="56" ht="45.0" customHeight="1">
      <c r="A56" s="8">
        <v>55.0</v>
      </c>
      <c r="B56" s="8" t="s">
        <v>100</v>
      </c>
      <c r="C56" s="15" t="s">
        <v>331</v>
      </c>
    </row>
    <row r="57" ht="45.0" customHeight="1">
      <c r="A57" s="8">
        <v>56.0</v>
      </c>
      <c r="B57" s="8" t="s">
        <v>102</v>
      </c>
      <c r="C57" s="15" t="s">
        <v>331</v>
      </c>
    </row>
    <row r="58" ht="45.0" customHeight="1">
      <c r="A58" s="8">
        <v>57.0</v>
      </c>
      <c r="B58" s="8" t="s">
        <v>103</v>
      </c>
      <c r="C58" s="15" t="s">
        <v>331</v>
      </c>
    </row>
    <row r="59" ht="45.0" customHeight="1">
      <c r="A59" s="8">
        <v>58.0</v>
      </c>
      <c r="B59" s="8" t="s">
        <v>104</v>
      </c>
      <c r="C59" s="15" t="s">
        <v>331</v>
      </c>
    </row>
    <row r="60" ht="45.0" customHeight="1">
      <c r="A60" s="8">
        <v>59.0</v>
      </c>
      <c r="B60" s="8" t="s">
        <v>105</v>
      </c>
      <c r="C60" s="15" t="s">
        <v>331</v>
      </c>
    </row>
    <row r="61" ht="45.0" customHeight="1">
      <c r="A61" s="8">
        <v>60.0</v>
      </c>
      <c r="B61" s="8" t="s">
        <v>106</v>
      </c>
      <c r="C61" s="15" t="s">
        <v>331</v>
      </c>
    </row>
    <row r="62" ht="45.0" customHeight="1">
      <c r="A62" s="8">
        <v>61.0</v>
      </c>
      <c r="B62" s="8" t="s">
        <v>107</v>
      </c>
      <c r="C62" s="15" t="s">
        <v>331</v>
      </c>
    </row>
    <row r="63" ht="45.0" customHeight="1">
      <c r="A63" s="8">
        <v>62.0</v>
      </c>
      <c r="B63" s="8" t="s">
        <v>108</v>
      </c>
      <c r="C63" s="15" t="s">
        <v>331</v>
      </c>
    </row>
    <row r="64" ht="45.0" customHeight="1">
      <c r="A64" s="8">
        <v>63.0</v>
      </c>
      <c r="B64" s="8" t="s">
        <v>109</v>
      </c>
      <c r="C64" s="15" t="s">
        <v>331</v>
      </c>
    </row>
    <row r="65" ht="45.0" customHeight="1">
      <c r="A65" s="8">
        <v>64.0</v>
      </c>
      <c r="B65" s="8" t="s">
        <v>110</v>
      </c>
      <c r="C65" s="15" t="s">
        <v>331</v>
      </c>
    </row>
    <row r="66" ht="45.0" customHeight="1">
      <c r="A66" s="8">
        <v>65.0</v>
      </c>
      <c r="B66" s="8" t="s">
        <v>111</v>
      </c>
      <c r="C66" s="15" t="s">
        <v>331</v>
      </c>
    </row>
    <row r="67" ht="45.0" customHeight="1">
      <c r="A67" s="8">
        <v>66.0</v>
      </c>
      <c r="B67" s="8" t="s">
        <v>112</v>
      </c>
      <c r="C67" s="15" t="s">
        <v>331</v>
      </c>
    </row>
    <row r="68" ht="45.0" customHeight="1">
      <c r="A68" s="8">
        <v>67.0</v>
      </c>
      <c r="B68" s="8" t="s">
        <v>113</v>
      </c>
      <c r="C68" s="15" t="s">
        <v>331</v>
      </c>
    </row>
    <row r="69" ht="45.0" customHeight="1">
      <c r="A69" s="8">
        <v>68.0</v>
      </c>
      <c r="B69" s="8" t="s">
        <v>114</v>
      </c>
      <c r="C69" s="15" t="s">
        <v>331</v>
      </c>
    </row>
    <row r="70" ht="45.0" customHeight="1">
      <c r="A70" s="8">
        <v>69.0</v>
      </c>
      <c r="B70" s="8" t="s">
        <v>115</v>
      </c>
      <c r="C70" s="15" t="s">
        <v>331</v>
      </c>
    </row>
    <row r="71" ht="45.0" customHeight="1">
      <c r="A71" s="8">
        <v>70.0</v>
      </c>
      <c r="B71" s="8" t="s">
        <v>116</v>
      </c>
      <c r="C71" s="15" t="s">
        <v>331</v>
      </c>
    </row>
    <row r="72" ht="45.0" customHeight="1">
      <c r="A72" s="8">
        <v>71.0</v>
      </c>
      <c r="B72" s="8" t="s">
        <v>117</v>
      </c>
      <c r="C72" s="15" t="s">
        <v>331</v>
      </c>
    </row>
    <row r="73" ht="45.0" customHeight="1">
      <c r="A73" s="8">
        <v>72.0</v>
      </c>
      <c r="B73" s="8" t="s">
        <v>118</v>
      </c>
      <c r="C73" s="15" t="s">
        <v>331</v>
      </c>
    </row>
    <row r="74" ht="45.0" customHeight="1">
      <c r="A74" s="8">
        <v>73.0</v>
      </c>
      <c r="B74" s="8" t="s">
        <v>119</v>
      </c>
      <c r="C74" s="15" t="s">
        <v>331</v>
      </c>
    </row>
    <row r="75" ht="45.0" customHeight="1">
      <c r="A75" s="8">
        <v>74.0</v>
      </c>
      <c r="B75" s="8" t="s">
        <v>120</v>
      </c>
      <c r="C75" s="15" t="s">
        <v>331</v>
      </c>
    </row>
    <row r="76" ht="45.0" customHeight="1">
      <c r="A76" s="8">
        <v>75.0</v>
      </c>
      <c r="B76" s="8" t="s">
        <v>121</v>
      </c>
      <c r="C76" s="15" t="s">
        <v>331</v>
      </c>
    </row>
    <row r="77" ht="45.0" customHeight="1">
      <c r="A77" s="8">
        <v>76.0</v>
      </c>
      <c r="B77" s="8" t="s">
        <v>123</v>
      </c>
      <c r="C77" s="15" t="s">
        <v>331</v>
      </c>
    </row>
    <row r="78" ht="45.0" customHeight="1">
      <c r="A78" s="8">
        <v>77.0</v>
      </c>
      <c r="B78" s="8" t="s">
        <v>124</v>
      </c>
      <c r="C78" s="15" t="s">
        <v>331</v>
      </c>
    </row>
    <row r="79" ht="45.0" customHeight="1">
      <c r="A79" s="8">
        <v>78.0</v>
      </c>
      <c r="B79" s="8" t="s">
        <v>125</v>
      </c>
      <c r="C79" s="15" t="s">
        <v>331</v>
      </c>
    </row>
    <row r="80" ht="45.0" customHeight="1">
      <c r="A80" s="8">
        <v>79.0</v>
      </c>
      <c r="B80" s="8" t="s">
        <v>126</v>
      </c>
      <c r="C80" s="15" t="s">
        <v>331</v>
      </c>
    </row>
    <row r="81" ht="45.0" customHeight="1">
      <c r="A81" s="8">
        <v>80.0</v>
      </c>
      <c r="B81" s="8" t="s">
        <v>127</v>
      </c>
      <c r="C81" s="15" t="s">
        <v>331</v>
      </c>
    </row>
    <row r="82" ht="45.0" customHeight="1">
      <c r="A82" s="8">
        <v>81.0</v>
      </c>
      <c r="B82" s="8" t="s">
        <v>128</v>
      </c>
      <c r="C82" s="15" t="s">
        <v>331</v>
      </c>
    </row>
    <row r="83" ht="45.0" customHeight="1">
      <c r="A83" s="8">
        <v>82.0</v>
      </c>
      <c r="B83" s="8" t="s">
        <v>129</v>
      </c>
      <c r="C83" s="15" t="s">
        <v>331</v>
      </c>
    </row>
    <row r="84" ht="45.0" customHeight="1">
      <c r="A84" s="8">
        <v>83.0</v>
      </c>
      <c r="B84" s="8" t="s">
        <v>130</v>
      </c>
      <c r="C84" s="15" t="s">
        <v>331</v>
      </c>
    </row>
    <row r="85" ht="45.0" customHeight="1">
      <c r="A85" s="8">
        <v>84.0</v>
      </c>
      <c r="B85" s="8" t="s">
        <v>131</v>
      </c>
      <c r="C85" s="15" t="s">
        <v>331</v>
      </c>
    </row>
    <row r="86" ht="45.0" customHeight="1">
      <c r="A86" s="8">
        <v>85.0</v>
      </c>
      <c r="B86" s="8" t="s">
        <v>132</v>
      </c>
      <c r="C86" s="15" t="s">
        <v>331</v>
      </c>
    </row>
    <row r="87" ht="45.0" customHeight="1">
      <c r="A87" s="8">
        <v>86.0</v>
      </c>
      <c r="B87" s="8" t="s">
        <v>133</v>
      </c>
      <c r="C87" s="15" t="s">
        <v>331</v>
      </c>
    </row>
    <row r="88" ht="45.0" customHeight="1">
      <c r="A88" s="8">
        <v>87.0</v>
      </c>
      <c r="B88" s="8" t="s">
        <v>134</v>
      </c>
      <c r="C88" s="15" t="s">
        <v>331</v>
      </c>
    </row>
    <row r="89" ht="45.0" customHeight="1">
      <c r="A89" s="8">
        <v>88.0</v>
      </c>
      <c r="B89" s="8" t="s">
        <v>135</v>
      </c>
      <c r="C89" s="15" t="s">
        <v>331</v>
      </c>
    </row>
    <row r="90" ht="45.0" customHeight="1">
      <c r="A90" s="8">
        <v>89.0</v>
      </c>
      <c r="B90" s="8" t="s">
        <v>136</v>
      </c>
      <c r="C90" s="15" t="s">
        <v>331</v>
      </c>
    </row>
    <row r="91" ht="45.0" customHeight="1">
      <c r="A91" s="8">
        <v>90.0</v>
      </c>
      <c r="B91" s="8" t="s">
        <v>137</v>
      </c>
      <c r="C91" s="15" t="s">
        <v>331</v>
      </c>
    </row>
    <row r="92" ht="45.0" customHeight="1">
      <c r="A92" s="8">
        <v>91.0</v>
      </c>
      <c r="B92" s="8" t="s">
        <v>138</v>
      </c>
      <c r="C92" s="15" t="s">
        <v>331</v>
      </c>
    </row>
    <row r="93" ht="45.0" customHeight="1">
      <c r="A93" s="8">
        <v>92.0</v>
      </c>
      <c r="B93" s="8" t="s">
        <v>139</v>
      </c>
      <c r="C93" s="15" t="s">
        <v>331</v>
      </c>
    </row>
    <row r="94" ht="45.0" customHeight="1">
      <c r="A94" s="8">
        <v>93.0</v>
      </c>
      <c r="B94" s="8" t="s">
        <v>140</v>
      </c>
      <c r="C94" s="15" t="s">
        <v>331</v>
      </c>
    </row>
    <row r="95" ht="45.0" customHeight="1">
      <c r="A95" s="8">
        <v>94.0</v>
      </c>
      <c r="B95" s="8" t="s">
        <v>141</v>
      </c>
      <c r="C95" s="15" t="s">
        <v>331</v>
      </c>
    </row>
    <row r="96" ht="45.0" customHeight="1">
      <c r="A96" s="8">
        <v>95.0</v>
      </c>
      <c r="B96" s="8" t="s">
        <v>142</v>
      </c>
      <c r="C96" s="15" t="s">
        <v>331</v>
      </c>
    </row>
    <row r="97" ht="45.0" customHeight="1">
      <c r="A97" s="8">
        <v>96.0</v>
      </c>
      <c r="B97" s="8" t="s">
        <v>145</v>
      </c>
      <c r="C97" s="15" t="s">
        <v>331</v>
      </c>
    </row>
    <row r="98" ht="45.0" customHeight="1">
      <c r="A98" s="8">
        <v>97.0</v>
      </c>
      <c r="B98" s="8" t="s">
        <v>146</v>
      </c>
      <c r="C98" s="15" t="s">
        <v>331</v>
      </c>
    </row>
    <row r="99" ht="45.0" customHeight="1">
      <c r="A99" s="8">
        <v>98.0</v>
      </c>
      <c r="B99" s="8" t="s">
        <v>147</v>
      </c>
      <c r="C99" s="15" t="s">
        <v>331</v>
      </c>
    </row>
    <row r="100" ht="45.0" customHeight="1">
      <c r="A100" s="8">
        <v>99.0</v>
      </c>
      <c r="B100" s="8" t="s">
        <v>148</v>
      </c>
      <c r="C100" s="15" t="s">
        <v>331</v>
      </c>
    </row>
    <row r="101" ht="45.0" customHeight="1">
      <c r="A101" s="8">
        <v>100.0</v>
      </c>
      <c r="B101" s="8" t="s">
        <v>149</v>
      </c>
      <c r="C101" s="15" t="s">
        <v>331</v>
      </c>
    </row>
    <row r="102" ht="45.0" customHeight="1">
      <c r="A102" s="8">
        <v>101.0</v>
      </c>
      <c r="B102" s="8" t="s">
        <v>150</v>
      </c>
      <c r="C102" s="15" t="s">
        <v>331</v>
      </c>
    </row>
    <row r="103" ht="45.0" customHeight="1">
      <c r="A103" s="8">
        <v>102.0</v>
      </c>
      <c r="B103" s="8" t="s">
        <v>151</v>
      </c>
      <c r="C103" s="15" t="s">
        <v>331</v>
      </c>
    </row>
    <row r="104" ht="45.0" customHeight="1">
      <c r="A104" s="8">
        <v>103.0</v>
      </c>
      <c r="B104" s="8" t="s">
        <v>152</v>
      </c>
      <c r="C104" s="15" t="s">
        <v>331</v>
      </c>
    </row>
    <row r="105" ht="45.0" customHeight="1">
      <c r="A105" s="8">
        <v>104.0</v>
      </c>
      <c r="B105" s="8" t="s">
        <v>153</v>
      </c>
      <c r="C105" s="15" t="s">
        <v>331</v>
      </c>
    </row>
    <row r="106" ht="45.0" customHeight="1">
      <c r="A106" s="8">
        <v>105.0</v>
      </c>
      <c r="B106" s="8" t="s">
        <v>154</v>
      </c>
      <c r="C106" s="15" t="s">
        <v>331</v>
      </c>
    </row>
    <row r="107" ht="45.0" customHeight="1">
      <c r="A107" s="8">
        <v>106.0</v>
      </c>
      <c r="B107" s="8" t="s">
        <v>155</v>
      </c>
      <c r="C107" s="15" t="s">
        <v>331</v>
      </c>
    </row>
    <row r="108" ht="45.0" customHeight="1">
      <c r="A108" s="8">
        <v>107.0</v>
      </c>
      <c r="B108" s="8" t="s">
        <v>156</v>
      </c>
      <c r="C108" s="15" t="s">
        <v>331</v>
      </c>
    </row>
    <row r="109" ht="45.0" customHeight="1">
      <c r="A109" s="8">
        <v>108.0</v>
      </c>
      <c r="B109" s="8" t="s">
        <v>157</v>
      </c>
      <c r="C109" s="15" t="s">
        <v>331</v>
      </c>
    </row>
    <row r="110" ht="45.0" customHeight="1">
      <c r="A110" s="8">
        <v>109.0</v>
      </c>
      <c r="B110" s="8" t="s">
        <v>158</v>
      </c>
      <c r="C110" s="15" t="s">
        <v>331</v>
      </c>
    </row>
    <row r="111" ht="45.0" customHeight="1">
      <c r="A111" s="8">
        <v>110.0</v>
      </c>
      <c r="B111" s="8" t="s">
        <v>159</v>
      </c>
      <c r="C111" s="15" t="s">
        <v>331</v>
      </c>
    </row>
    <row r="112" ht="45.0" customHeight="1">
      <c r="A112" s="8">
        <v>111.0</v>
      </c>
      <c r="B112" s="8" t="s">
        <v>160</v>
      </c>
      <c r="C112" s="15" t="s">
        <v>331</v>
      </c>
    </row>
    <row r="113" ht="45.0" customHeight="1">
      <c r="A113" s="8">
        <v>112.0</v>
      </c>
      <c r="B113" s="8" t="s">
        <v>161</v>
      </c>
      <c r="C113" s="15" t="s">
        <v>331</v>
      </c>
    </row>
    <row r="114" ht="45.0" customHeight="1">
      <c r="A114" s="8">
        <v>113.0</v>
      </c>
      <c r="B114" s="8" t="s">
        <v>162</v>
      </c>
      <c r="C114" s="15" t="s">
        <v>331</v>
      </c>
    </row>
    <row r="115" ht="45.0" customHeight="1">
      <c r="A115" s="8">
        <v>114.0</v>
      </c>
      <c r="B115" s="8" t="s">
        <v>163</v>
      </c>
      <c r="C115" s="15" t="s">
        <v>331</v>
      </c>
    </row>
    <row r="116" ht="45.0" customHeight="1">
      <c r="A116" s="8">
        <v>115.0</v>
      </c>
      <c r="B116" s="8" t="s">
        <v>164</v>
      </c>
      <c r="C116" s="15" t="s">
        <v>331</v>
      </c>
    </row>
    <row r="117" ht="45.0" customHeight="1">
      <c r="A117" s="8">
        <v>116.0</v>
      </c>
      <c r="B117" s="8" t="s">
        <v>165</v>
      </c>
      <c r="C117" s="15" t="s">
        <v>331</v>
      </c>
    </row>
    <row r="118" ht="45.0" customHeight="1">
      <c r="A118" s="8">
        <v>117.0</v>
      </c>
      <c r="B118" s="8" t="s">
        <v>166</v>
      </c>
      <c r="C118" s="15" t="s">
        <v>331</v>
      </c>
    </row>
    <row r="119" ht="45.0" customHeight="1">
      <c r="A119" s="8">
        <v>118.0</v>
      </c>
      <c r="B119" s="8" t="s">
        <v>167</v>
      </c>
      <c r="C119" s="15" t="s">
        <v>331</v>
      </c>
    </row>
    <row r="120" ht="45.0" customHeight="1">
      <c r="A120" s="8">
        <v>119.0</v>
      </c>
      <c r="B120" s="8" t="s">
        <v>168</v>
      </c>
      <c r="C120" s="15" t="s">
        <v>331</v>
      </c>
    </row>
    <row r="121" ht="45.0" customHeight="1">
      <c r="A121" s="8">
        <v>120.0</v>
      </c>
      <c r="B121" s="8" t="s">
        <v>169</v>
      </c>
      <c r="C121" s="15" t="s">
        <v>331</v>
      </c>
    </row>
    <row r="122" ht="45.0" customHeight="1">
      <c r="A122" s="8">
        <v>121.0</v>
      </c>
      <c r="B122" s="8" t="s">
        <v>170</v>
      </c>
      <c r="C122" s="15" t="s">
        <v>331</v>
      </c>
    </row>
    <row r="123" ht="45.0" customHeight="1">
      <c r="A123" s="8">
        <v>122.0</v>
      </c>
      <c r="B123" s="8" t="s">
        <v>171</v>
      </c>
      <c r="C123" s="15" t="s">
        <v>331</v>
      </c>
    </row>
    <row r="124" ht="45.0" customHeight="1">
      <c r="A124" s="8">
        <v>123.0</v>
      </c>
      <c r="B124" s="8" t="s">
        <v>172</v>
      </c>
      <c r="C124" s="15" t="s">
        <v>331</v>
      </c>
    </row>
    <row r="125" ht="45.0" customHeight="1">
      <c r="A125" s="8">
        <v>124.0</v>
      </c>
      <c r="B125" s="8" t="s">
        <v>173</v>
      </c>
      <c r="C125" s="15" t="s">
        <v>331</v>
      </c>
    </row>
    <row r="126" ht="45.0" customHeight="1">
      <c r="A126" s="8">
        <v>125.0</v>
      </c>
      <c r="B126" s="8" t="s">
        <v>174</v>
      </c>
      <c r="C126" s="15" t="s">
        <v>331</v>
      </c>
    </row>
    <row r="127" ht="45.0" customHeight="1">
      <c r="A127" s="8">
        <v>126.0</v>
      </c>
      <c r="B127" s="8" t="s">
        <v>175</v>
      </c>
      <c r="C127" s="15" t="s">
        <v>331</v>
      </c>
    </row>
    <row r="128" ht="45.0" customHeight="1">
      <c r="A128" s="8">
        <v>127.0</v>
      </c>
      <c r="B128" s="8" t="s">
        <v>176</v>
      </c>
      <c r="C128" s="15" t="s">
        <v>331</v>
      </c>
    </row>
    <row r="129" ht="45.0" customHeight="1">
      <c r="A129" s="8">
        <v>128.0</v>
      </c>
      <c r="B129" s="8" t="s">
        <v>177</v>
      </c>
      <c r="C129" s="15" t="s">
        <v>331</v>
      </c>
    </row>
    <row r="130" ht="45.0" customHeight="1">
      <c r="A130" s="8">
        <v>129.0</v>
      </c>
      <c r="B130" s="8" t="s">
        <v>178</v>
      </c>
      <c r="C130" s="15" t="s">
        <v>331</v>
      </c>
    </row>
    <row r="131" ht="45.0" customHeight="1">
      <c r="A131" s="8">
        <v>130.0</v>
      </c>
      <c r="B131" s="8" t="s">
        <v>179</v>
      </c>
      <c r="C131" s="15" t="s">
        <v>331</v>
      </c>
    </row>
    <row r="132" ht="45.0" customHeight="1">
      <c r="A132" s="8">
        <v>131.0</v>
      </c>
      <c r="B132" s="8" t="s">
        <v>180</v>
      </c>
      <c r="C132" s="15" t="s">
        <v>331</v>
      </c>
    </row>
    <row r="133" ht="45.0" customHeight="1">
      <c r="A133" s="8">
        <v>132.0</v>
      </c>
      <c r="B133" s="8" t="s">
        <v>181</v>
      </c>
      <c r="C133" s="15" t="s">
        <v>331</v>
      </c>
    </row>
    <row r="134" ht="45.0" customHeight="1">
      <c r="A134" s="8">
        <v>133.0</v>
      </c>
      <c r="B134" s="8" t="s">
        <v>182</v>
      </c>
      <c r="C134" s="15" t="s">
        <v>331</v>
      </c>
    </row>
    <row r="135" ht="45.0" customHeight="1">
      <c r="A135" s="8">
        <v>134.0</v>
      </c>
      <c r="B135" s="8" t="s">
        <v>183</v>
      </c>
      <c r="C135" s="15" t="s">
        <v>331</v>
      </c>
    </row>
    <row r="136" ht="45.0" customHeight="1">
      <c r="A136" s="8">
        <v>135.0</v>
      </c>
      <c r="B136" s="8" t="s">
        <v>184</v>
      </c>
      <c r="C136" s="15" t="s">
        <v>331</v>
      </c>
    </row>
    <row r="137" ht="45.0" customHeight="1">
      <c r="A137" s="8">
        <v>136.0</v>
      </c>
      <c r="B137" s="8" t="s">
        <v>187</v>
      </c>
      <c r="C137" s="15" t="s">
        <v>331</v>
      </c>
    </row>
    <row r="138" ht="45.0" customHeight="1">
      <c r="A138" s="8">
        <v>137.0</v>
      </c>
      <c r="B138" s="8" t="s">
        <v>188</v>
      </c>
      <c r="C138" s="15" t="s">
        <v>331</v>
      </c>
    </row>
    <row r="139" ht="45.0" customHeight="1">
      <c r="A139" s="8">
        <v>138.0</v>
      </c>
      <c r="B139" s="8" t="s">
        <v>189</v>
      </c>
      <c r="C139" s="15" t="s">
        <v>331</v>
      </c>
    </row>
    <row r="140" ht="45.0" customHeight="1">
      <c r="A140" s="8">
        <v>139.0</v>
      </c>
      <c r="B140" s="8" t="s">
        <v>190</v>
      </c>
      <c r="C140" s="15" t="s">
        <v>331</v>
      </c>
    </row>
    <row r="141" ht="45.0" customHeight="1">
      <c r="A141" s="8">
        <v>140.0</v>
      </c>
      <c r="B141" s="8" t="s">
        <v>191</v>
      </c>
      <c r="C141" s="15" t="s">
        <v>331</v>
      </c>
    </row>
    <row r="142" ht="45.0" customHeight="1">
      <c r="A142" s="8">
        <v>141.0</v>
      </c>
      <c r="B142" s="8" t="s">
        <v>192</v>
      </c>
      <c r="C142" s="15" t="s">
        <v>331</v>
      </c>
    </row>
    <row r="143" ht="45.0" customHeight="1">
      <c r="A143" s="8">
        <v>142.0</v>
      </c>
      <c r="B143" s="8" t="s">
        <v>193</v>
      </c>
      <c r="C143" s="15" t="s">
        <v>331</v>
      </c>
    </row>
    <row r="144" ht="45.0" customHeight="1">
      <c r="A144" s="8">
        <v>143.0</v>
      </c>
      <c r="B144" s="8" t="s">
        <v>194</v>
      </c>
      <c r="C144" s="15" t="s">
        <v>331</v>
      </c>
    </row>
    <row r="145" ht="45.0" customHeight="1">
      <c r="A145" s="8">
        <v>144.0</v>
      </c>
      <c r="B145" s="8" t="s">
        <v>195</v>
      </c>
      <c r="C145" s="15" t="s">
        <v>331</v>
      </c>
    </row>
    <row r="146" ht="45.0" customHeight="1">
      <c r="A146" s="8">
        <v>145.0</v>
      </c>
      <c r="B146" s="8" t="s">
        <v>196</v>
      </c>
      <c r="C146" s="15" t="s">
        <v>331</v>
      </c>
    </row>
    <row r="147" ht="45.0" customHeight="1">
      <c r="A147" s="8">
        <v>146.0</v>
      </c>
      <c r="B147" s="8" t="s">
        <v>197</v>
      </c>
      <c r="C147" s="15" t="s">
        <v>331</v>
      </c>
    </row>
    <row r="148" ht="45.0" customHeight="1">
      <c r="A148" s="8">
        <v>147.0</v>
      </c>
      <c r="B148" s="8" t="s">
        <v>198</v>
      </c>
      <c r="C148" s="15" t="s">
        <v>331</v>
      </c>
    </row>
    <row r="149" ht="45.0" customHeight="1">
      <c r="A149" s="8">
        <v>148.0</v>
      </c>
      <c r="B149" s="8" t="s">
        <v>199</v>
      </c>
      <c r="C149" s="15" t="s">
        <v>331</v>
      </c>
    </row>
    <row r="150" ht="45.0" customHeight="1">
      <c r="A150" s="8">
        <v>149.0</v>
      </c>
      <c r="B150" s="8" t="s">
        <v>200</v>
      </c>
      <c r="C150" s="15" t="s">
        <v>331</v>
      </c>
    </row>
    <row r="151" ht="45.0" customHeight="1">
      <c r="A151" s="8">
        <v>150.0</v>
      </c>
      <c r="B151" s="8" t="s">
        <v>201</v>
      </c>
      <c r="C151" s="15" t="s">
        <v>331</v>
      </c>
    </row>
    <row r="152" ht="45.0" customHeight="1">
      <c r="A152" s="8">
        <v>151.0</v>
      </c>
      <c r="B152" s="8" t="s">
        <v>204</v>
      </c>
      <c r="C152" s="15" t="s">
        <v>331</v>
      </c>
    </row>
    <row r="153" ht="45.0" customHeight="1">
      <c r="A153" s="8">
        <v>152.0</v>
      </c>
      <c r="B153" s="8" t="s">
        <v>205</v>
      </c>
      <c r="C153" s="15" t="s">
        <v>331</v>
      </c>
    </row>
    <row r="154" ht="45.0" customHeight="1">
      <c r="A154" s="8">
        <v>153.0</v>
      </c>
      <c r="B154" s="8" t="s">
        <v>206</v>
      </c>
      <c r="C154" s="15" t="s">
        <v>331</v>
      </c>
    </row>
    <row r="155" ht="45.0" customHeight="1">
      <c r="A155" s="8">
        <v>154.0</v>
      </c>
      <c r="B155" s="8" t="s">
        <v>207</v>
      </c>
      <c r="C155" s="15" t="s">
        <v>331</v>
      </c>
    </row>
    <row r="156" ht="45.0" customHeight="1">
      <c r="A156" s="8">
        <v>155.0</v>
      </c>
      <c r="B156" s="8" t="s">
        <v>208</v>
      </c>
      <c r="C156" s="15" t="s">
        <v>331</v>
      </c>
    </row>
    <row r="157" ht="45.0" customHeight="1">
      <c r="A157" s="8">
        <v>156.0</v>
      </c>
      <c r="B157" s="8" t="s">
        <v>209</v>
      </c>
      <c r="C157" s="15" t="s">
        <v>331</v>
      </c>
    </row>
    <row r="158" ht="45.0" customHeight="1">
      <c r="A158" s="8">
        <v>157.0</v>
      </c>
      <c r="B158" s="8" t="s">
        <v>210</v>
      </c>
      <c r="C158" s="15" t="s">
        <v>331</v>
      </c>
    </row>
    <row r="159" ht="45.0" customHeight="1">
      <c r="A159" s="8">
        <v>158.0</v>
      </c>
      <c r="B159" s="8" t="s">
        <v>211</v>
      </c>
      <c r="C159" s="15" t="s">
        <v>331</v>
      </c>
    </row>
    <row r="160" ht="45.0" customHeight="1">
      <c r="A160" s="8">
        <v>159.0</v>
      </c>
      <c r="B160" s="8" t="s">
        <v>212</v>
      </c>
      <c r="C160" s="15" t="s">
        <v>331</v>
      </c>
    </row>
    <row r="161" ht="45.0" customHeight="1">
      <c r="A161" s="8">
        <v>160.0</v>
      </c>
      <c r="B161" s="8" t="s">
        <v>213</v>
      </c>
      <c r="C161" s="15" t="s">
        <v>331</v>
      </c>
    </row>
    <row r="162" ht="45.0" customHeight="1">
      <c r="A162" s="8">
        <v>161.0</v>
      </c>
      <c r="B162" s="8" t="s">
        <v>214</v>
      </c>
      <c r="C162" s="15" t="s">
        <v>331</v>
      </c>
    </row>
    <row r="163" ht="45.0" customHeight="1">
      <c r="A163" s="8">
        <v>162.0</v>
      </c>
      <c r="B163" s="8" t="s">
        <v>215</v>
      </c>
      <c r="C163" s="15" t="s">
        <v>331</v>
      </c>
    </row>
    <row r="164" ht="45.0" customHeight="1">
      <c r="A164" s="8">
        <v>163.0</v>
      </c>
      <c r="B164" s="8" t="s">
        <v>216</v>
      </c>
      <c r="C164" s="15" t="s">
        <v>331</v>
      </c>
    </row>
    <row r="165" ht="45.0" customHeight="1">
      <c r="A165" s="8">
        <v>164.0</v>
      </c>
      <c r="B165" s="8" t="s">
        <v>217</v>
      </c>
      <c r="C165" s="15" t="s">
        <v>331</v>
      </c>
    </row>
    <row r="166" ht="45.0" customHeight="1">
      <c r="A166" s="8">
        <v>165.0</v>
      </c>
      <c r="B166" s="8" t="s">
        <v>218</v>
      </c>
      <c r="C166" s="15" t="s">
        <v>331</v>
      </c>
    </row>
    <row r="167" ht="45.0" customHeight="1">
      <c r="A167" s="8">
        <v>166.0</v>
      </c>
      <c r="B167" s="8" t="s">
        <v>220</v>
      </c>
      <c r="C167" s="15" t="s">
        <v>331</v>
      </c>
    </row>
    <row r="168" ht="45.0" customHeight="1">
      <c r="A168" s="8">
        <v>167.0</v>
      </c>
      <c r="B168" s="8" t="s">
        <v>221</v>
      </c>
      <c r="C168" s="15" t="s">
        <v>331</v>
      </c>
    </row>
    <row r="169" ht="45.0" customHeight="1">
      <c r="A169" s="8">
        <v>168.0</v>
      </c>
      <c r="B169" s="8" t="s">
        <v>222</v>
      </c>
      <c r="C169" s="15" t="s">
        <v>331</v>
      </c>
    </row>
    <row r="170" ht="45.0" customHeight="1">
      <c r="A170" s="8">
        <v>169.0</v>
      </c>
      <c r="B170" s="8" t="s">
        <v>223</v>
      </c>
      <c r="C170" s="15" t="s">
        <v>331</v>
      </c>
    </row>
    <row r="171" ht="45.0" customHeight="1">
      <c r="A171" s="8">
        <v>170.0</v>
      </c>
      <c r="B171" s="8" t="s">
        <v>224</v>
      </c>
      <c r="C171" s="15" t="s">
        <v>331</v>
      </c>
    </row>
    <row r="172" ht="45.0" customHeight="1">
      <c r="A172" s="8">
        <v>171.0</v>
      </c>
      <c r="B172" s="8" t="s">
        <v>225</v>
      </c>
      <c r="C172" s="15" t="s">
        <v>331</v>
      </c>
    </row>
    <row r="173" ht="45.0" customHeight="1">
      <c r="A173" s="8">
        <v>172.0</v>
      </c>
      <c r="B173" s="8" t="s">
        <v>226</v>
      </c>
      <c r="C173" s="15" t="s">
        <v>331</v>
      </c>
    </row>
    <row r="174" ht="45.0" customHeight="1">
      <c r="A174" s="8">
        <v>173.0</v>
      </c>
      <c r="B174" s="8" t="s">
        <v>227</v>
      </c>
      <c r="C174" s="15" t="s">
        <v>331</v>
      </c>
    </row>
    <row r="175" ht="45.0" customHeight="1">
      <c r="A175" s="8">
        <v>174.0</v>
      </c>
      <c r="B175" s="8" t="s">
        <v>228</v>
      </c>
      <c r="C175" s="15" t="s">
        <v>331</v>
      </c>
    </row>
    <row r="176" ht="45.0" customHeight="1">
      <c r="A176" s="8">
        <v>175.0</v>
      </c>
      <c r="B176" s="8" t="s">
        <v>229</v>
      </c>
      <c r="C176" s="15" t="s">
        <v>331</v>
      </c>
    </row>
    <row r="177" ht="45.0" customHeight="1">
      <c r="A177" s="8">
        <v>176.0</v>
      </c>
      <c r="B177" s="8" t="s">
        <v>230</v>
      </c>
      <c r="C177" s="15" t="s">
        <v>331</v>
      </c>
    </row>
    <row r="178" ht="45.0" customHeight="1">
      <c r="A178" s="8">
        <v>177.0</v>
      </c>
      <c r="B178" s="8" t="s">
        <v>231</v>
      </c>
      <c r="C178" s="15" t="s">
        <v>331</v>
      </c>
    </row>
    <row r="179" ht="45.0" customHeight="1">
      <c r="A179" s="8">
        <v>178.0</v>
      </c>
      <c r="B179" s="8" t="s">
        <v>232</v>
      </c>
      <c r="C179" s="15" t="s">
        <v>331</v>
      </c>
    </row>
    <row r="180" ht="45.0" customHeight="1">
      <c r="A180" s="8">
        <v>179.0</v>
      </c>
      <c r="B180" s="8" t="s">
        <v>233</v>
      </c>
      <c r="C180" s="15" t="s">
        <v>331</v>
      </c>
    </row>
    <row r="181" ht="45.0" customHeight="1">
      <c r="A181" s="8">
        <v>180.0</v>
      </c>
      <c r="B181" s="8" t="s">
        <v>234</v>
      </c>
      <c r="C181" s="15" t="s">
        <v>331</v>
      </c>
    </row>
    <row r="182" ht="45.0" customHeight="1">
      <c r="A182" s="8">
        <v>181.0</v>
      </c>
      <c r="B182" s="8" t="s">
        <v>235</v>
      </c>
      <c r="C182" s="15" t="s">
        <v>331</v>
      </c>
    </row>
    <row r="183" ht="45.0" customHeight="1">
      <c r="A183" s="8">
        <v>182.0</v>
      </c>
      <c r="B183" s="8" t="s">
        <v>236</v>
      </c>
      <c r="C183" s="15" t="s">
        <v>331</v>
      </c>
    </row>
    <row r="184" ht="45.0" customHeight="1">
      <c r="A184" s="8">
        <v>183.0</v>
      </c>
      <c r="B184" s="8" t="s">
        <v>237</v>
      </c>
      <c r="C184" s="15" t="s">
        <v>331</v>
      </c>
    </row>
    <row r="185" ht="45.0" customHeight="1">
      <c r="A185" s="8">
        <v>184.0</v>
      </c>
      <c r="B185" s="8" t="s">
        <v>238</v>
      </c>
      <c r="C185" s="15" t="s">
        <v>331</v>
      </c>
    </row>
    <row r="186" ht="45.0" customHeight="1">
      <c r="A186" s="8">
        <v>185.0</v>
      </c>
      <c r="B186" s="8" t="s">
        <v>239</v>
      </c>
      <c r="C186" s="15" t="s">
        <v>331</v>
      </c>
    </row>
    <row r="187" ht="45.0" customHeight="1">
      <c r="A187" s="8">
        <v>186.0</v>
      </c>
      <c r="B187" s="8" t="s">
        <v>240</v>
      </c>
      <c r="C187" s="15" t="s">
        <v>331</v>
      </c>
    </row>
    <row r="188" ht="45.0" customHeight="1">
      <c r="A188" s="8">
        <v>187.0</v>
      </c>
      <c r="B188" s="8" t="s">
        <v>241</v>
      </c>
      <c r="C188" s="15" t="s">
        <v>331</v>
      </c>
    </row>
    <row r="189" ht="45.0" customHeight="1">
      <c r="A189" s="8">
        <v>188.0</v>
      </c>
      <c r="B189" s="8" t="s">
        <v>242</v>
      </c>
      <c r="C189" s="15" t="s">
        <v>331</v>
      </c>
    </row>
    <row r="190" ht="45.0" customHeight="1">
      <c r="A190" s="8">
        <v>189.0</v>
      </c>
      <c r="B190" s="8" t="s">
        <v>243</v>
      </c>
      <c r="C190" s="15" t="s">
        <v>331</v>
      </c>
    </row>
    <row r="191" ht="45.0" customHeight="1">
      <c r="A191" s="8">
        <v>190.0</v>
      </c>
      <c r="B191" s="8" t="s">
        <v>244</v>
      </c>
      <c r="C191" s="15" t="s">
        <v>331</v>
      </c>
    </row>
    <row r="192" ht="45.0" customHeight="1">
      <c r="A192" s="8">
        <v>191.0</v>
      </c>
      <c r="B192" s="8" t="s">
        <v>247</v>
      </c>
      <c r="C192" s="15" t="s">
        <v>331</v>
      </c>
    </row>
    <row r="193" ht="45.0" customHeight="1">
      <c r="A193" s="8">
        <v>192.0</v>
      </c>
      <c r="B193" s="8" t="s">
        <v>248</v>
      </c>
      <c r="C193" s="15" t="s">
        <v>331</v>
      </c>
    </row>
    <row r="194" ht="45.0" customHeight="1">
      <c r="A194" s="8">
        <v>193.0</v>
      </c>
      <c r="B194" s="8" t="s">
        <v>249</v>
      </c>
      <c r="C194" s="15" t="s">
        <v>331</v>
      </c>
    </row>
    <row r="195" ht="45.0" customHeight="1">
      <c r="A195" s="8">
        <v>194.0</v>
      </c>
      <c r="B195" s="8" t="s">
        <v>250</v>
      </c>
      <c r="C195" s="15" t="s">
        <v>331</v>
      </c>
    </row>
    <row r="196" ht="45.0" customHeight="1">
      <c r="A196" s="8">
        <v>195.0</v>
      </c>
      <c r="B196" s="8" t="s">
        <v>251</v>
      </c>
      <c r="C196" s="15" t="s">
        <v>331</v>
      </c>
    </row>
    <row r="197" ht="45.0" customHeight="1">
      <c r="A197" s="8">
        <v>196.0</v>
      </c>
      <c r="B197" s="8" t="s">
        <v>252</v>
      </c>
      <c r="C197" s="15" t="s">
        <v>331</v>
      </c>
    </row>
    <row r="198" ht="45.0" customHeight="1">
      <c r="A198" s="8">
        <v>197.0</v>
      </c>
      <c r="B198" s="8" t="s">
        <v>253</v>
      </c>
      <c r="C198" s="15" t="s">
        <v>331</v>
      </c>
    </row>
    <row r="199" ht="45.0" customHeight="1">
      <c r="A199" s="8">
        <v>198.0</v>
      </c>
      <c r="B199" s="8" t="s">
        <v>254</v>
      </c>
      <c r="C199" s="15" t="s">
        <v>331</v>
      </c>
    </row>
    <row r="200" ht="45.0" customHeight="1">
      <c r="A200" s="8">
        <v>199.0</v>
      </c>
      <c r="B200" s="8" t="s">
        <v>255</v>
      </c>
      <c r="C200" s="15" t="s">
        <v>331</v>
      </c>
    </row>
    <row r="201" ht="45.0" customHeight="1">
      <c r="A201" s="8">
        <v>200.0</v>
      </c>
      <c r="B201" s="8" t="s">
        <v>256</v>
      </c>
      <c r="C201" s="15" t="s">
        <v>331</v>
      </c>
    </row>
    <row r="202" ht="45.0" customHeight="1">
      <c r="A202" s="8">
        <v>201.0</v>
      </c>
      <c r="B202" s="8" t="s">
        <v>257</v>
      </c>
      <c r="C202" s="15" t="s">
        <v>331</v>
      </c>
    </row>
    <row r="203" ht="45.0" customHeight="1">
      <c r="A203" s="8">
        <v>202.0</v>
      </c>
      <c r="B203" s="8" t="s">
        <v>258</v>
      </c>
      <c r="C203" s="15" t="s">
        <v>331</v>
      </c>
    </row>
    <row r="204" ht="45.0" customHeight="1">
      <c r="A204" s="8">
        <v>203.0</v>
      </c>
      <c r="B204" s="8" t="s">
        <v>259</v>
      </c>
      <c r="C204" s="15" t="s">
        <v>331</v>
      </c>
    </row>
    <row r="205" ht="45.0" customHeight="1">
      <c r="A205" s="8">
        <v>204.0</v>
      </c>
      <c r="B205" s="8" t="s">
        <v>260</v>
      </c>
      <c r="C205" s="15" t="s">
        <v>331</v>
      </c>
    </row>
    <row r="206" ht="45.0" customHeight="1">
      <c r="A206" s="8">
        <v>205.0</v>
      </c>
      <c r="B206" s="8" t="s">
        <v>261</v>
      </c>
      <c r="C206" s="15" t="s">
        <v>331</v>
      </c>
    </row>
    <row r="207" ht="45.0" customHeight="1">
      <c r="A207" s="8">
        <v>206.0</v>
      </c>
      <c r="B207" s="8" t="s">
        <v>262</v>
      </c>
      <c r="C207" s="15" t="s">
        <v>331</v>
      </c>
    </row>
    <row r="208" ht="45.0" customHeight="1">
      <c r="A208" s="8">
        <v>207.0</v>
      </c>
      <c r="B208" s="8" t="s">
        <v>263</v>
      </c>
      <c r="C208" s="15" t="s">
        <v>331</v>
      </c>
    </row>
    <row r="209" ht="45.0" customHeight="1">
      <c r="A209" s="8">
        <v>208.0</v>
      </c>
      <c r="B209" s="8" t="s">
        <v>264</v>
      </c>
      <c r="C209" s="15" t="s">
        <v>331</v>
      </c>
    </row>
    <row r="210" ht="45.0" customHeight="1">
      <c r="A210" s="8">
        <v>209.0</v>
      </c>
      <c r="B210" s="8" t="s">
        <v>265</v>
      </c>
      <c r="C210" s="15" t="s">
        <v>331</v>
      </c>
    </row>
    <row r="211" ht="45.0" customHeight="1">
      <c r="A211" s="8">
        <v>210.0</v>
      </c>
      <c r="B211" s="8" t="s">
        <v>266</v>
      </c>
      <c r="C211" s="15" t="s">
        <v>331</v>
      </c>
    </row>
    <row r="212" ht="45.0" customHeight="1">
      <c r="A212" s="8">
        <v>211.0</v>
      </c>
      <c r="B212" s="8" t="s">
        <v>267</v>
      </c>
      <c r="C212" s="15" t="s">
        <v>331</v>
      </c>
    </row>
    <row r="213" ht="45.0" customHeight="1">
      <c r="A213" s="8">
        <v>212.0</v>
      </c>
      <c r="B213" s="8" t="s">
        <v>268</v>
      </c>
      <c r="C213" s="15" t="s">
        <v>331</v>
      </c>
    </row>
    <row r="214" ht="45.0" customHeight="1">
      <c r="A214" s="8">
        <v>213.0</v>
      </c>
      <c r="B214" s="8" t="s">
        <v>269</v>
      </c>
      <c r="C214" s="15" t="s">
        <v>331</v>
      </c>
    </row>
    <row r="215" ht="45.0" customHeight="1">
      <c r="A215" s="8">
        <v>214.0</v>
      </c>
      <c r="B215" s="8" t="s">
        <v>270</v>
      </c>
      <c r="C215" s="15" t="s">
        <v>331</v>
      </c>
    </row>
    <row r="216" ht="45.0" customHeight="1">
      <c r="A216" s="8">
        <v>215.0</v>
      </c>
      <c r="B216" s="8" t="s">
        <v>271</v>
      </c>
      <c r="C216" s="15" t="s">
        <v>331</v>
      </c>
    </row>
    <row r="217" ht="45.0" customHeight="1">
      <c r="A217" s="8">
        <v>216.0</v>
      </c>
      <c r="B217" s="8" t="s">
        <v>273</v>
      </c>
      <c r="C217" s="15" t="s">
        <v>331</v>
      </c>
    </row>
    <row r="218" ht="45.0" customHeight="1">
      <c r="A218" s="8">
        <v>217.0</v>
      </c>
      <c r="B218" s="8" t="s">
        <v>274</v>
      </c>
      <c r="C218" s="15" t="s">
        <v>331</v>
      </c>
    </row>
    <row r="219" ht="45.0" customHeight="1">
      <c r="A219" s="8">
        <v>218.0</v>
      </c>
      <c r="B219" s="8" t="s">
        <v>275</v>
      </c>
      <c r="C219" s="15" t="s">
        <v>331</v>
      </c>
    </row>
    <row r="220" ht="45.0" customHeight="1">
      <c r="A220" s="8">
        <v>219.0</v>
      </c>
      <c r="B220" s="8" t="s">
        <v>276</v>
      </c>
      <c r="C220" s="15" t="s">
        <v>331</v>
      </c>
    </row>
    <row r="221" ht="45.0" customHeight="1">
      <c r="A221" s="8">
        <v>220.0</v>
      </c>
      <c r="B221" s="8" t="s">
        <v>277</v>
      </c>
      <c r="C221" s="15" t="s">
        <v>331</v>
      </c>
    </row>
    <row r="222" ht="45.0" customHeight="1">
      <c r="A222" s="8">
        <v>221.0</v>
      </c>
      <c r="B222" s="8" t="s">
        <v>278</v>
      </c>
      <c r="C222" s="15" t="s">
        <v>331</v>
      </c>
    </row>
    <row r="223" ht="45.0" customHeight="1">
      <c r="A223" s="8">
        <v>222.0</v>
      </c>
      <c r="B223" s="8" t="s">
        <v>279</v>
      </c>
      <c r="C223" s="15" t="s">
        <v>331</v>
      </c>
    </row>
    <row r="224" ht="45.0" customHeight="1">
      <c r="A224" s="8">
        <v>223.0</v>
      </c>
      <c r="B224" s="8" t="s">
        <v>280</v>
      </c>
      <c r="C224" s="15" t="s">
        <v>331</v>
      </c>
    </row>
    <row r="225" ht="45.0" customHeight="1">
      <c r="A225" s="8">
        <v>224.0</v>
      </c>
      <c r="B225" s="8" t="s">
        <v>281</v>
      </c>
      <c r="C225" s="15" t="s">
        <v>331</v>
      </c>
    </row>
    <row r="226" ht="45.0" customHeight="1">
      <c r="A226" s="8">
        <v>225.0</v>
      </c>
      <c r="B226" s="8" t="s">
        <v>282</v>
      </c>
      <c r="C226" s="15" t="s">
        <v>331</v>
      </c>
    </row>
    <row r="227" ht="45.0" customHeight="1">
      <c r="A227" s="8">
        <v>226.0</v>
      </c>
      <c r="B227" s="8" t="s">
        <v>283</v>
      </c>
      <c r="C227" s="15" t="s">
        <v>331</v>
      </c>
    </row>
    <row r="228" ht="45.0" customHeight="1">
      <c r="A228" s="8">
        <v>227.0</v>
      </c>
      <c r="B228" s="8" t="s">
        <v>284</v>
      </c>
      <c r="C228" s="15" t="s">
        <v>331</v>
      </c>
    </row>
    <row r="229" ht="45.0" customHeight="1">
      <c r="A229" s="8">
        <v>228.0</v>
      </c>
      <c r="B229" s="8" t="s">
        <v>285</v>
      </c>
      <c r="C229" s="15" t="s">
        <v>331</v>
      </c>
    </row>
    <row r="230" ht="45.0" customHeight="1">
      <c r="A230" s="8">
        <v>229.0</v>
      </c>
      <c r="B230" s="8" t="s">
        <v>286</v>
      </c>
      <c r="C230" s="15" t="s">
        <v>331</v>
      </c>
    </row>
    <row r="231" ht="45.0" customHeight="1">
      <c r="A231" s="8">
        <v>230.0</v>
      </c>
      <c r="B231" s="8" t="s">
        <v>287</v>
      </c>
      <c r="C231" s="15" t="s">
        <v>331</v>
      </c>
    </row>
    <row r="232" ht="45.0" customHeight="1">
      <c r="A232" s="8">
        <v>231.0</v>
      </c>
      <c r="B232" s="8" t="s">
        <v>288</v>
      </c>
      <c r="C232" s="15" t="s">
        <v>331</v>
      </c>
    </row>
    <row r="233" ht="45.0" customHeight="1">
      <c r="A233" s="8">
        <v>232.0</v>
      </c>
      <c r="B233" s="8" t="s">
        <v>289</v>
      </c>
      <c r="C233" s="15" t="s">
        <v>331</v>
      </c>
    </row>
    <row r="234" ht="45.0" customHeight="1">
      <c r="A234" s="8">
        <v>233.0</v>
      </c>
      <c r="B234" s="8" t="s">
        <v>290</v>
      </c>
      <c r="C234" s="15" t="s">
        <v>331</v>
      </c>
    </row>
    <row r="235" ht="45.0" customHeight="1">
      <c r="A235" s="8">
        <v>234.0</v>
      </c>
      <c r="B235" s="8" t="s">
        <v>291</v>
      </c>
      <c r="C235" s="15" t="s">
        <v>331</v>
      </c>
    </row>
    <row r="236" ht="45.0" customHeight="1">
      <c r="A236" s="8">
        <v>235.0</v>
      </c>
      <c r="B236" s="8" t="s">
        <v>292</v>
      </c>
      <c r="C236" s="15" t="s">
        <v>331</v>
      </c>
    </row>
    <row r="237" ht="45.0" customHeight="1">
      <c r="A237" s="8">
        <v>236.0</v>
      </c>
      <c r="B237" s="8" t="s">
        <v>293</v>
      </c>
      <c r="C237" s="15" t="s">
        <v>331</v>
      </c>
    </row>
    <row r="238" ht="45.0" customHeight="1">
      <c r="A238" s="8">
        <v>237.0</v>
      </c>
      <c r="B238" s="8" t="s">
        <v>294</v>
      </c>
      <c r="C238" s="15" t="s">
        <v>331</v>
      </c>
    </row>
    <row r="239" ht="45.0" customHeight="1">
      <c r="A239" s="8">
        <v>238.0</v>
      </c>
      <c r="B239" s="8" t="s">
        <v>295</v>
      </c>
      <c r="C239" s="15" t="s">
        <v>331</v>
      </c>
    </row>
    <row r="240" ht="45.0" customHeight="1">
      <c r="A240" s="8">
        <v>239.0</v>
      </c>
      <c r="B240" s="8" t="s">
        <v>296</v>
      </c>
      <c r="C240" s="15" t="s">
        <v>331</v>
      </c>
    </row>
    <row r="241" ht="45.0" customHeight="1">
      <c r="A241" s="8">
        <v>240.0</v>
      </c>
      <c r="B241" s="8" t="s">
        <v>297</v>
      </c>
      <c r="C241" s="15" t="s">
        <v>331</v>
      </c>
    </row>
    <row r="242" ht="45.0" customHeight="1">
      <c r="A242" s="8">
        <v>241.0</v>
      </c>
      <c r="B242" s="8" t="s">
        <v>299</v>
      </c>
      <c r="C242" s="15" t="s">
        <v>331</v>
      </c>
    </row>
    <row r="243" ht="45.0" customHeight="1">
      <c r="A243" s="8">
        <v>242.0</v>
      </c>
      <c r="B243" s="8" t="s">
        <v>300</v>
      </c>
      <c r="C243" s="15" t="s">
        <v>331</v>
      </c>
    </row>
    <row r="244" ht="45.0" customHeight="1">
      <c r="A244" s="8">
        <v>243.0</v>
      </c>
      <c r="B244" s="8" t="s">
        <v>301</v>
      </c>
      <c r="C244" s="15" t="s">
        <v>331</v>
      </c>
    </row>
    <row r="245" ht="45.0" customHeight="1">
      <c r="A245" s="8">
        <v>244.0</v>
      </c>
      <c r="B245" s="8" t="s">
        <v>302</v>
      </c>
      <c r="C245" s="15" t="s">
        <v>331</v>
      </c>
    </row>
    <row r="246" ht="45.0" customHeight="1">
      <c r="A246" s="8">
        <v>245.0</v>
      </c>
      <c r="B246" s="8" t="s">
        <v>303</v>
      </c>
      <c r="C246" s="15" t="s">
        <v>331</v>
      </c>
    </row>
    <row r="247" ht="45.0" customHeight="1">
      <c r="A247" s="8">
        <v>246.0</v>
      </c>
      <c r="B247" s="8" t="s">
        <v>304</v>
      </c>
      <c r="C247" s="15" t="s">
        <v>331</v>
      </c>
    </row>
    <row r="248" ht="45.0" customHeight="1">
      <c r="A248" s="8">
        <v>247.0</v>
      </c>
      <c r="B248" s="8" t="s">
        <v>305</v>
      </c>
      <c r="C248" s="15" t="s">
        <v>331</v>
      </c>
    </row>
    <row r="249" ht="45.0" customHeight="1">
      <c r="A249" s="8">
        <v>248.0</v>
      </c>
      <c r="B249" s="8" t="s">
        <v>306</v>
      </c>
      <c r="C249" s="15" t="s">
        <v>331</v>
      </c>
    </row>
    <row r="250" ht="45.0" customHeight="1">
      <c r="A250" s="8">
        <v>249.0</v>
      </c>
      <c r="B250" s="8" t="s">
        <v>307</v>
      </c>
      <c r="C250" s="15" t="s">
        <v>331</v>
      </c>
    </row>
    <row r="251" ht="45.0" customHeight="1">
      <c r="A251" s="8">
        <v>250.0</v>
      </c>
      <c r="B251" s="8" t="s">
        <v>308</v>
      </c>
      <c r="C251" s="15" t="s">
        <v>331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00.0"/>
    <col customWidth="1" min="4" max="26" width="8.86"/>
  </cols>
  <sheetData>
    <row r="1">
      <c r="A1" s="14" t="s">
        <v>19</v>
      </c>
      <c r="B1" s="14" t="s">
        <v>22</v>
      </c>
      <c r="C1" s="14" t="s">
        <v>320</v>
      </c>
    </row>
    <row r="2" ht="45.0" customHeight="1">
      <c r="A2" s="8">
        <v>1.0</v>
      </c>
      <c r="B2" s="8" t="s">
        <v>39</v>
      </c>
      <c r="C2" s="15" t="s">
        <v>332</v>
      </c>
    </row>
    <row r="3" ht="45.0" customHeight="1">
      <c r="A3" s="8">
        <v>2.0</v>
      </c>
      <c r="B3" s="8" t="s">
        <v>44</v>
      </c>
      <c r="C3" s="15" t="s">
        <v>333</v>
      </c>
    </row>
    <row r="4" ht="45.0" customHeight="1">
      <c r="A4" s="8">
        <v>3.0</v>
      </c>
      <c r="B4" s="8" t="s">
        <v>45</v>
      </c>
      <c r="C4" s="15" t="s">
        <v>334</v>
      </c>
    </row>
    <row r="5" ht="45.0" customHeight="1">
      <c r="A5" s="8">
        <v>4.0</v>
      </c>
      <c r="B5" s="8" t="s">
        <v>47</v>
      </c>
      <c r="C5" s="15" t="s">
        <v>335</v>
      </c>
    </row>
    <row r="6" ht="45.0" customHeight="1">
      <c r="A6" s="8">
        <v>5.0</v>
      </c>
      <c r="B6" s="8" t="s">
        <v>48</v>
      </c>
      <c r="C6" s="15" t="s">
        <v>336</v>
      </c>
    </row>
    <row r="7" ht="45.0" customHeight="1">
      <c r="A7" s="8">
        <v>6.0</v>
      </c>
      <c r="B7" s="8" t="s">
        <v>49</v>
      </c>
      <c r="C7" s="15" t="s">
        <v>337</v>
      </c>
    </row>
    <row r="8" ht="45.0" customHeight="1">
      <c r="A8" s="8">
        <v>7.0</v>
      </c>
      <c r="B8" s="8" t="s">
        <v>50</v>
      </c>
      <c r="C8" s="15" t="s">
        <v>338</v>
      </c>
    </row>
    <row r="9" ht="45.0" customHeight="1">
      <c r="A9" s="8">
        <v>8.0</v>
      </c>
      <c r="B9" s="8" t="s">
        <v>51</v>
      </c>
      <c r="C9" s="15" t="s">
        <v>339</v>
      </c>
    </row>
    <row r="10" ht="45.0" customHeight="1">
      <c r="A10" s="8">
        <v>9.0</v>
      </c>
      <c r="B10" s="8" t="s">
        <v>52</v>
      </c>
      <c r="C10" s="15" t="s">
        <v>340</v>
      </c>
    </row>
    <row r="11" ht="45.0" customHeight="1">
      <c r="A11" s="8">
        <v>10.0</v>
      </c>
      <c r="B11" s="8" t="s">
        <v>53</v>
      </c>
      <c r="C11" s="15" t="s">
        <v>341</v>
      </c>
    </row>
    <row r="12" ht="45.0" customHeight="1">
      <c r="A12" s="8">
        <v>11.0</v>
      </c>
      <c r="B12" s="8" t="s">
        <v>54</v>
      </c>
      <c r="C12" s="15" t="s">
        <v>342</v>
      </c>
    </row>
    <row r="13" ht="45.0" customHeight="1">
      <c r="A13" s="8">
        <v>12.0</v>
      </c>
      <c r="B13" s="8" t="s">
        <v>55</v>
      </c>
      <c r="C13" s="15" t="s">
        <v>342</v>
      </c>
    </row>
    <row r="14" ht="45.0" customHeight="1">
      <c r="A14" s="8">
        <v>13.0</v>
      </c>
      <c r="B14" s="8" t="s">
        <v>56</v>
      </c>
      <c r="C14" s="15" t="s">
        <v>342</v>
      </c>
    </row>
    <row r="15" ht="45.0" customHeight="1">
      <c r="A15" s="8">
        <v>14.0</v>
      </c>
      <c r="B15" s="8" t="s">
        <v>57</v>
      </c>
      <c r="C15" s="15" t="s">
        <v>342</v>
      </c>
    </row>
    <row r="16" ht="45.0" customHeight="1">
      <c r="A16" s="8">
        <v>15.0</v>
      </c>
      <c r="B16" s="8" t="s">
        <v>58</v>
      </c>
      <c r="C16" s="15" t="s">
        <v>342</v>
      </c>
    </row>
    <row r="17" ht="45.0" customHeight="1">
      <c r="A17" s="8">
        <v>16.0</v>
      </c>
      <c r="B17" s="8" t="s">
        <v>61</v>
      </c>
      <c r="C17" s="15" t="s">
        <v>342</v>
      </c>
    </row>
    <row r="18" ht="45.0" customHeight="1">
      <c r="A18" s="8">
        <v>17.0</v>
      </c>
      <c r="B18" s="8" t="s">
        <v>62</v>
      </c>
      <c r="C18" s="15" t="s">
        <v>342</v>
      </c>
    </row>
    <row r="19" ht="45.0" customHeight="1">
      <c r="A19" s="8">
        <v>18.0</v>
      </c>
      <c r="B19" s="8" t="s">
        <v>63</v>
      </c>
      <c r="C19" s="15" t="s">
        <v>342</v>
      </c>
    </row>
    <row r="20" ht="45.0" customHeight="1">
      <c r="A20" s="8">
        <v>19.0</v>
      </c>
      <c r="B20" s="8" t="s">
        <v>64</v>
      </c>
      <c r="C20" s="15" t="s">
        <v>342</v>
      </c>
    </row>
    <row r="21" ht="45.0" customHeight="1">
      <c r="A21" s="8">
        <v>20.0</v>
      </c>
      <c r="B21" s="8" t="s">
        <v>65</v>
      </c>
      <c r="C21" s="15" t="s">
        <v>342</v>
      </c>
    </row>
    <row r="22" ht="45.0" customHeight="1">
      <c r="A22" s="8">
        <v>21.0</v>
      </c>
      <c r="B22" s="8" t="s">
        <v>66</v>
      </c>
      <c r="C22" s="15" t="s">
        <v>342</v>
      </c>
    </row>
    <row r="23" ht="45.0" customHeight="1">
      <c r="A23" s="8">
        <v>22.0</v>
      </c>
      <c r="B23" s="8" t="s">
        <v>67</v>
      </c>
      <c r="C23" s="15" t="s">
        <v>342</v>
      </c>
    </row>
    <row r="24" ht="45.0" customHeight="1">
      <c r="A24" s="8">
        <v>23.0</v>
      </c>
      <c r="B24" s="8" t="s">
        <v>68</v>
      </c>
      <c r="C24" s="15" t="s">
        <v>342</v>
      </c>
    </row>
    <row r="25" ht="45.0" customHeight="1">
      <c r="A25" s="8">
        <v>24.0</v>
      </c>
      <c r="B25" s="8" t="s">
        <v>69</v>
      </c>
      <c r="C25" s="15" t="s">
        <v>342</v>
      </c>
    </row>
    <row r="26" ht="45.0" customHeight="1">
      <c r="A26" s="8">
        <v>25.0</v>
      </c>
      <c r="B26" s="8" t="s">
        <v>70</v>
      </c>
      <c r="C26" s="15" t="s">
        <v>342</v>
      </c>
    </row>
    <row r="27" ht="45.0" customHeight="1">
      <c r="A27" s="8">
        <v>26.0</v>
      </c>
      <c r="B27" s="8" t="s">
        <v>71</v>
      </c>
      <c r="C27" s="15" t="s">
        <v>342</v>
      </c>
    </row>
    <row r="28" ht="45.0" customHeight="1">
      <c r="A28" s="8">
        <v>27.0</v>
      </c>
      <c r="B28" s="8" t="s">
        <v>72</v>
      </c>
      <c r="C28" s="15" t="s">
        <v>342</v>
      </c>
    </row>
    <row r="29" ht="45.0" customHeight="1">
      <c r="A29" s="8">
        <v>28.0</v>
      </c>
      <c r="B29" s="8" t="s">
        <v>73</v>
      </c>
      <c r="C29" s="15" t="s">
        <v>342</v>
      </c>
    </row>
    <row r="30" ht="45.0" customHeight="1">
      <c r="A30" s="8">
        <v>29.0</v>
      </c>
      <c r="B30" s="8" t="s">
        <v>74</v>
      </c>
      <c r="C30" s="15" t="s">
        <v>342</v>
      </c>
    </row>
    <row r="31" ht="45.0" customHeight="1">
      <c r="A31" s="8">
        <v>30.0</v>
      </c>
      <c r="B31" s="8" t="s">
        <v>75</v>
      </c>
      <c r="C31" s="15" t="s">
        <v>342</v>
      </c>
    </row>
    <row r="32" ht="45.0" customHeight="1">
      <c r="A32" s="8">
        <v>31.0</v>
      </c>
      <c r="B32" s="8" t="s">
        <v>76</v>
      </c>
      <c r="C32" s="15" t="s">
        <v>342</v>
      </c>
    </row>
    <row r="33" ht="45.0" customHeight="1">
      <c r="A33" s="8">
        <v>32.0</v>
      </c>
      <c r="B33" s="8" t="s">
        <v>77</v>
      </c>
      <c r="C33" s="15" t="s">
        <v>342</v>
      </c>
    </row>
    <row r="34" ht="45.0" customHeight="1">
      <c r="A34" s="8">
        <v>33.0</v>
      </c>
      <c r="B34" s="8" t="s">
        <v>78</v>
      </c>
      <c r="C34" s="15" t="s">
        <v>342</v>
      </c>
    </row>
    <row r="35" ht="45.0" customHeight="1">
      <c r="A35" s="8">
        <v>34.0</v>
      </c>
      <c r="B35" s="8" t="s">
        <v>79</v>
      </c>
      <c r="C35" s="15" t="s">
        <v>342</v>
      </c>
    </row>
    <row r="36" ht="45.0" customHeight="1">
      <c r="A36" s="8">
        <v>35.0</v>
      </c>
      <c r="B36" s="8" t="s">
        <v>80</v>
      </c>
      <c r="C36" s="15" t="s">
        <v>342</v>
      </c>
    </row>
    <row r="37" ht="45.0" customHeight="1">
      <c r="A37" s="8">
        <v>36.0</v>
      </c>
      <c r="B37" s="8" t="s">
        <v>81</v>
      </c>
      <c r="C37" s="15" t="s">
        <v>342</v>
      </c>
    </row>
    <row r="38" ht="45.0" customHeight="1">
      <c r="A38" s="8">
        <v>37.0</v>
      </c>
      <c r="B38" s="8" t="s">
        <v>82</v>
      </c>
      <c r="C38" s="15" t="s">
        <v>342</v>
      </c>
    </row>
    <row r="39" ht="45.0" customHeight="1">
      <c r="A39" s="8">
        <v>38.0</v>
      </c>
      <c r="B39" s="8" t="s">
        <v>83</v>
      </c>
      <c r="C39" s="15" t="s">
        <v>342</v>
      </c>
    </row>
    <row r="40" ht="45.0" customHeight="1">
      <c r="A40" s="8">
        <v>39.0</v>
      </c>
      <c r="B40" s="8" t="s">
        <v>84</v>
      </c>
      <c r="C40" s="15" t="s">
        <v>342</v>
      </c>
    </row>
    <row r="41" ht="45.0" customHeight="1">
      <c r="A41" s="8">
        <v>40.0</v>
      </c>
      <c r="B41" s="8" t="s">
        <v>85</v>
      </c>
      <c r="C41" s="15" t="s">
        <v>342</v>
      </c>
    </row>
    <row r="42" ht="45.0" customHeight="1">
      <c r="A42" s="8">
        <v>41.0</v>
      </c>
      <c r="B42" s="8" t="s">
        <v>86</v>
      </c>
      <c r="C42" s="15" t="s">
        <v>342</v>
      </c>
    </row>
    <row r="43" ht="45.0" customHeight="1">
      <c r="A43" s="8">
        <v>42.0</v>
      </c>
      <c r="B43" s="8" t="s">
        <v>87</v>
      </c>
      <c r="C43" s="15" t="s">
        <v>342</v>
      </c>
    </row>
    <row r="44" ht="45.0" customHeight="1">
      <c r="A44" s="8">
        <v>43.0</v>
      </c>
      <c r="B44" s="8" t="s">
        <v>88</v>
      </c>
      <c r="C44" s="15" t="s">
        <v>342</v>
      </c>
    </row>
    <row r="45" ht="45.0" customHeight="1">
      <c r="A45" s="8">
        <v>44.0</v>
      </c>
      <c r="B45" s="8" t="s">
        <v>89</v>
      </c>
      <c r="C45" s="15" t="s">
        <v>342</v>
      </c>
    </row>
    <row r="46" ht="45.0" customHeight="1">
      <c r="A46" s="8">
        <v>45.0</v>
      </c>
      <c r="B46" s="8" t="s">
        <v>90</v>
      </c>
      <c r="C46" s="15" t="s">
        <v>342</v>
      </c>
    </row>
    <row r="47" ht="45.0" customHeight="1">
      <c r="A47" s="8">
        <v>46.0</v>
      </c>
      <c r="B47" s="8" t="s">
        <v>91</v>
      </c>
      <c r="C47" s="15" t="s">
        <v>342</v>
      </c>
    </row>
    <row r="48" ht="45.0" customHeight="1">
      <c r="A48" s="8">
        <v>47.0</v>
      </c>
      <c r="B48" s="8" t="s">
        <v>92</v>
      </c>
      <c r="C48" s="15" t="s">
        <v>342</v>
      </c>
    </row>
    <row r="49" ht="45.0" customHeight="1">
      <c r="A49" s="8">
        <v>48.0</v>
      </c>
      <c r="B49" s="8" t="s">
        <v>93</v>
      </c>
      <c r="C49" s="15" t="s">
        <v>342</v>
      </c>
    </row>
    <row r="50" ht="45.0" customHeight="1">
      <c r="A50" s="8">
        <v>49.0</v>
      </c>
      <c r="B50" s="8" t="s">
        <v>94</v>
      </c>
      <c r="C50" s="15" t="s">
        <v>342</v>
      </c>
    </row>
    <row r="51" ht="45.0" customHeight="1">
      <c r="A51" s="8">
        <v>50.0</v>
      </c>
      <c r="B51" s="8" t="s">
        <v>95</v>
      </c>
      <c r="C51" s="15" t="s">
        <v>342</v>
      </c>
    </row>
    <row r="52" ht="45.0" customHeight="1">
      <c r="A52" s="8">
        <v>51.0</v>
      </c>
      <c r="B52" s="8" t="s">
        <v>96</v>
      </c>
      <c r="C52" s="15" t="s">
        <v>342</v>
      </c>
    </row>
    <row r="53" ht="45.0" customHeight="1">
      <c r="A53" s="8">
        <v>52.0</v>
      </c>
      <c r="B53" s="8" t="s">
        <v>97</v>
      </c>
      <c r="C53" s="15" t="s">
        <v>342</v>
      </c>
    </row>
    <row r="54" ht="45.0" customHeight="1">
      <c r="A54" s="8">
        <v>53.0</v>
      </c>
      <c r="B54" s="8" t="s">
        <v>98</v>
      </c>
      <c r="C54" s="15" t="s">
        <v>342</v>
      </c>
    </row>
    <row r="55" ht="45.0" customHeight="1">
      <c r="A55" s="8">
        <v>54.0</v>
      </c>
      <c r="B55" s="8" t="s">
        <v>99</v>
      </c>
      <c r="C55" s="15" t="s">
        <v>342</v>
      </c>
    </row>
    <row r="56" ht="45.0" customHeight="1">
      <c r="A56" s="8">
        <v>55.0</v>
      </c>
      <c r="B56" s="8" t="s">
        <v>100</v>
      </c>
      <c r="C56" s="15" t="s">
        <v>342</v>
      </c>
    </row>
    <row r="57" ht="45.0" customHeight="1">
      <c r="A57" s="8">
        <v>56.0</v>
      </c>
      <c r="B57" s="8" t="s">
        <v>102</v>
      </c>
      <c r="C57" s="15" t="s">
        <v>342</v>
      </c>
    </row>
    <row r="58" ht="45.0" customHeight="1">
      <c r="A58" s="8">
        <v>57.0</v>
      </c>
      <c r="B58" s="8" t="s">
        <v>103</v>
      </c>
      <c r="C58" s="15" t="s">
        <v>342</v>
      </c>
    </row>
    <row r="59" ht="45.0" customHeight="1">
      <c r="A59" s="8">
        <v>58.0</v>
      </c>
      <c r="B59" s="8" t="s">
        <v>104</v>
      </c>
      <c r="C59" s="15" t="s">
        <v>342</v>
      </c>
    </row>
    <row r="60" ht="45.0" customHeight="1">
      <c r="A60" s="8">
        <v>59.0</v>
      </c>
      <c r="B60" s="8" t="s">
        <v>105</v>
      </c>
      <c r="C60" s="15" t="s">
        <v>342</v>
      </c>
    </row>
    <row r="61" ht="45.0" customHeight="1">
      <c r="A61" s="8">
        <v>60.0</v>
      </c>
      <c r="B61" s="8" t="s">
        <v>106</v>
      </c>
      <c r="C61" s="15" t="s">
        <v>342</v>
      </c>
    </row>
    <row r="62" ht="45.0" customHeight="1">
      <c r="A62" s="8">
        <v>61.0</v>
      </c>
      <c r="B62" s="8" t="s">
        <v>107</v>
      </c>
      <c r="C62" s="15" t="s">
        <v>342</v>
      </c>
    </row>
    <row r="63" ht="45.0" customHeight="1">
      <c r="A63" s="8">
        <v>62.0</v>
      </c>
      <c r="B63" s="8" t="s">
        <v>108</v>
      </c>
      <c r="C63" s="15" t="s">
        <v>342</v>
      </c>
    </row>
    <row r="64" ht="45.0" customHeight="1">
      <c r="A64" s="8">
        <v>63.0</v>
      </c>
      <c r="B64" s="8" t="s">
        <v>109</v>
      </c>
      <c r="C64" s="15" t="s">
        <v>342</v>
      </c>
    </row>
    <row r="65" ht="45.0" customHeight="1">
      <c r="A65" s="8">
        <v>64.0</v>
      </c>
      <c r="B65" s="8" t="s">
        <v>110</v>
      </c>
      <c r="C65" s="15" t="s">
        <v>342</v>
      </c>
    </row>
    <row r="66" ht="45.0" customHeight="1">
      <c r="A66" s="8">
        <v>65.0</v>
      </c>
      <c r="B66" s="8" t="s">
        <v>111</v>
      </c>
      <c r="C66" s="15" t="s">
        <v>342</v>
      </c>
    </row>
    <row r="67" ht="45.0" customHeight="1">
      <c r="A67" s="8">
        <v>66.0</v>
      </c>
      <c r="B67" s="8" t="s">
        <v>112</v>
      </c>
      <c r="C67" s="15" t="s">
        <v>342</v>
      </c>
    </row>
    <row r="68" ht="45.0" customHeight="1">
      <c r="A68" s="8">
        <v>67.0</v>
      </c>
      <c r="B68" s="8" t="s">
        <v>113</v>
      </c>
      <c r="C68" s="15" t="s">
        <v>342</v>
      </c>
    </row>
    <row r="69" ht="45.0" customHeight="1">
      <c r="A69" s="8">
        <v>68.0</v>
      </c>
      <c r="B69" s="8" t="s">
        <v>114</v>
      </c>
      <c r="C69" s="15" t="s">
        <v>342</v>
      </c>
    </row>
    <row r="70" ht="45.0" customHeight="1">
      <c r="A70" s="8">
        <v>69.0</v>
      </c>
      <c r="B70" s="8" t="s">
        <v>115</v>
      </c>
      <c r="C70" s="15" t="s">
        <v>342</v>
      </c>
    </row>
    <row r="71" ht="45.0" customHeight="1">
      <c r="A71" s="8">
        <v>70.0</v>
      </c>
      <c r="B71" s="8" t="s">
        <v>116</v>
      </c>
      <c r="C71" s="15" t="s">
        <v>342</v>
      </c>
    </row>
    <row r="72" ht="45.0" customHeight="1">
      <c r="A72" s="8">
        <v>71.0</v>
      </c>
      <c r="B72" s="8" t="s">
        <v>117</v>
      </c>
      <c r="C72" s="15" t="s">
        <v>342</v>
      </c>
    </row>
    <row r="73" ht="45.0" customHeight="1">
      <c r="A73" s="8">
        <v>72.0</v>
      </c>
      <c r="B73" s="8" t="s">
        <v>118</v>
      </c>
      <c r="C73" s="15" t="s">
        <v>342</v>
      </c>
    </row>
    <row r="74" ht="45.0" customHeight="1">
      <c r="A74" s="8">
        <v>73.0</v>
      </c>
      <c r="B74" s="8" t="s">
        <v>119</v>
      </c>
      <c r="C74" s="15" t="s">
        <v>342</v>
      </c>
    </row>
    <row r="75" ht="45.0" customHeight="1">
      <c r="A75" s="8">
        <v>74.0</v>
      </c>
      <c r="B75" s="8" t="s">
        <v>120</v>
      </c>
      <c r="C75" s="15" t="s">
        <v>342</v>
      </c>
    </row>
    <row r="76" ht="45.0" customHeight="1">
      <c r="A76" s="8">
        <v>75.0</v>
      </c>
      <c r="B76" s="8" t="s">
        <v>121</v>
      </c>
      <c r="C76" s="15" t="s">
        <v>342</v>
      </c>
    </row>
    <row r="77" ht="45.0" customHeight="1">
      <c r="A77" s="8">
        <v>76.0</v>
      </c>
      <c r="B77" s="8" t="s">
        <v>123</v>
      </c>
      <c r="C77" s="15" t="s">
        <v>342</v>
      </c>
    </row>
    <row r="78" ht="45.0" customHeight="1">
      <c r="A78" s="8">
        <v>77.0</v>
      </c>
      <c r="B78" s="8" t="s">
        <v>124</v>
      </c>
      <c r="C78" s="15" t="s">
        <v>342</v>
      </c>
    </row>
    <row r="79" ht="45.0" customHeight="1">
      <c r="A79" s="8">
        <v>78.0</v>
      </c>
      <c r="B79" s="8" t="s">
        <v>125</v>
      </c>
      <c r="C79" s="15" t="s">
        <v>342</v>
      </c>
    </row>
    <row r="80" ht="45.0" customHeight="1">
      <c r="A80" s="8">
        <v>79.0</v>
      </c>
      <c r="B80" s="8" t="s">
        <v>126</v>
      </c>
      <c r="C80" s="15" t="s">
        <v>342</v>
      </c>
    </row>
    <row r="81" ht="45.0" customHeight="1">
      <c r="A81" s="8">
        <v>80.0</v>
      </c>
      <c r="B81" s="8" t="s">
        <v>127</v>
      </c>
      <c r="C81" s="15" t="s">
        <v>342</v>
      </c>
    </row>
    <row r="82" ht="45.0" customHeight="1">
      <c r="A82" s="8">
        <v>81.0</v>
      </c>
      <c r="B82" s="8" t="s">
        <v>128</v>
      </c>
      <c r="C82" s="15" t="s">
        <v>342</v>
      </c>
    </row>
    <row r="83" ht="45.0" customHeight="1">
      <c r="A83" s="8">
        <v>82.0</v>
      </c>
      <c r="B83" s="8" t="s">
        <v>129</v>
      </c>
      <c r="C83" s="15" t="s">
        <v>342</v>
      </c>
    </row>
    <row r="84" ht="45.0" customHeight="1">
      <c r="A84" s="8">
        <v>83.0</v>
      </c>
      <c r="B84" s="8" t="s">
        <v>130</v>
      </c>
      <c r="C84" s="15" t="s">
        <v>342</v>
      </c>
    </row>
    <row r="85" ht="45.0" customHeight="1">
      <c r="A85" s="8">
        <v>84.0</v>
      </c>
      <c r="B85" s="8" t="s">
        <v>131</v>
      </c>
      <c r="C85" s="15" t="s">
        <v>342</v>
      </c>
    </row>
    <row r="86" ht="45.0" customHeight="1">
      <c r="A86" s="8">
        <v>85.0</v>
      </c>
      <c r="B86" s="8" t="s">
        <v>132</v>
      </c>
      <c r="C86" s="15" t="s">
        <v>342</v>
      </c>
    </row>
    <row r="87" ht="45.0" customHeight="1">
      <c r="A87" s="8">
        <v>86.0</v>
      </c>
      <c r="B87" s="8" t="s">
        <v>133</v>
      </c>
      <c r="C87" s="15" t="s">
        <v>342</v>
      </c>
    </row>
    <row r="88" ht="45.0" customHeight="1">
      <c r="A88" s="8">
        <v>87.0</v>
      </c>
      <c r="B88" s="8" t="s">
        <v>134</v>
      </c>
      <c r="C88" s="15" t="s">
        <v>342</v>
      </c>
    </row>
    <row r="89" ht="45.0" customHeight="1">
      <c r="A89" s="8">
        <v>88.0</v>
      </c>
      <c r="B89" s="8" t="s">
        <v>135</v>
      </c>
      <c r="C89" s="15" t="s">
        <v>342</v>
      </c>
    </row>
    <row r="90" ht="45.0" customHeight="1">
      <c r="A90" s="8">
        <v>89.0</v>
      </c>
      <c r="B90" s="8" t="s">
        <v>136</v>
      </c>
      <c r="C90" s="15" t="s">
        <v>342</v>
      </c>
    </row>
    <row r="91" ht="45.0" customHeight="1">
      <c r="A91" s="8">
        <v>90.0</v>
      </c>
      <c r="B91" s="8" t="s">
        <v>137</v>
      </c>
      <c r="C91" s="15" t="s">
        <v>342</v>
      </c>
    </row>
    <row r="92" ht="45.0" customHeight="1">
      <c r="A92" s="8">
        <v>91.0</v>
      </c>
      <c r="B92" s="8" t="s">
        <v>138</v>
      </c>
      <c r="C92" s="15" t="s">
        <v>342</v>
      </c>
    </row>
    <row r="93" ht="45.0" customHeight="1">
      <c r="A93" s="8">
        <v>92.0</v>
      </c>
      <c r="B93" s="8" t="s">
        <v>139</v>
      </c>
      <c r="C93" s="15" t="s">
        <v>342</v>
      </c>
    </row>
    <row r="94" ht="45.0" customHeight="1">
      <c r="A94" s="8">
        <v>93.0</v>
      </c>
      <c r="B94" s="8" t="s">
        <v>140</v>
      </c>
      <c r="C94" s="15" t="s">
        <v>342</v>
      </c>
    </row>
    <row r="95" ht="45.0" customHeight="1">
      <c r="A95" s="8">
        <v>94.0</v>
      </c>
      <c r="B95" s="8" t="s">
        <v>141</v>
      </c>
      <c r="C95" s="15" t="s">
        <v>342</v>
      </c>
    </row>
    <row r="96" ht="45.0" customHeight="1">
      <c r="A96" s="8">
        <v>95.0</v>
      </c>
      <c r="B96" s="8" t="s">
        <v>142</v>
      </c>
      <c r="C96" s="15" t="s">
        <v>342</v>
      </c>
    </row>
    <row r="97" ht="45.0" customHeight="1">
      <c r="A97" s="8">
        <v>96.0</v>
      </c>
      <c r="B97" s="8" t="s">
        <v>145</v>
      </c>
      <c r="C97" s="15" t="s">
        <v>342</v>
      </c>
    </row>
    <row r="98" ht="45.0" customHeight="1">
      <c r="A98" s="8">
        <v>97.0</v>
      </c>
      <c r="B98" s="8" t="s">
        <v>146</v>
      </c>
      <c r="C98" s="15" t="s">
        <v>342</v>
      </c>
    </row>
    <row r="99" ht="45.0" customHeight="1">
      <c r="A99" s="8">
        <v>98.0</v>
      </c>
      <c r="B99" s="8" t="s">
        <v>147</v>
      </c>
      <c r="C99" s="15" t="s">
        <v>342</v>
      </c>
    </row>
    <row r="100" ht="45.0" customHeight="1">
      <c r="A100" s="8">
        <v>99.0</v>
      </c>
      <c r="B100" s="8" t="s">
        <v>148</v>
      </c>
      <c r="C100" s="15" t="s">
        <v>342</v>
      </c>
    </row>
    <row r="101" ht="45.0" customHeight="1">
      <c r="A101" s="8">
        <v>100.0</v>
      </c>
      <c r="B101" s="8" t="s">
        <v>149</v>
      </c>
      <c r="C101" s="15" t="s">
        <v>342</v>
      </c>
    </row>
    <row r="102" ht="45.0" customHeight="1">
      <c r="A102" s="8">
        <v>101.0</v>
      </c>
      <c r="B102" s="8" t="s">
        <v>150</v>
      </c>
      <c r="C102" s="15" t="s">
        <v>342</v>
      </c>
    </row>
    <row r="103" ht="45.0" customHeight="1">
      <c r="A103" s="8">
        <v>102.0</v>
      </c>
      <c r="B103" s="8" t="s">
        <v>151</v>
      </c>
      <c r="C103" s="15" t="s">
        <v>342</v>
      </c>
    </row>
    <row r="104" ht="45.0" customHeight="1">
      <c r="A104" s="8">
        <v>103.0</v>
      </c>
      <c r="B104" s="8" t="s">
        <v>152</v>
      </c>
      <c r="C104" s="15" t="s">
        <v>342</v>
      </c>
    </row>
    <row r="105" ht="45.0" customHeight="1">
      <c r="A105" s="8">
        <v>104.0</v>
      </c>
      <c r="B105" s="8" t="s">
        <v>153</v>
      </c>
      <c r="C105" s="15" t="s">
        <v>342</v>
      </c>
    </row>
    <row r="106" ht="45.0" customHeight="1">
      <c r="A106" s="8">
        <v>105.0</v>
      </c>
      <c r="B106" s="8" t="s">
        <v>154</v>
      </c>
      <c r="C106" s="15" t="s">
        <v>342</v>
      </c>
    </row>
    <row r="107" ht="45.0" customHeight="1">
      <c r="A107" s="8">
        <v>106.0</v>
      </c>
      <c r="B107" s="8" t="s">
        <v>155</v>
      </c>
      <c r="C107" s="15" t="s">
        <v>342</v>
      </c>
    </row>
    <row r="108" ht="45.0" customHeight="1">
      <c r="A108" s="8">
        <v>107.0</v>
      </c>
      <c r="B108" s="8" t="s">
        <v>156</v>
      </c>
      <c r="C108" s="15" t="s">
        <v>342</v>
      </c>
    </row>
    <row r="109" ht="45.0" customHeight="1">
      <c r="A109" s="8">
        <v>108.0</v>
      </c>
      <c r="B109" s="8" t="s">
        <v>157</v>
      </c>
      <c r="C109" s="15" t="s">
        <v>342</v>
      </c>
    </row>
    <row r="110" ht="45.0" customHeight="1">
      <c r="A110" s="8">
        <v>109.0</v>
      </c>
      <c r="B110" s="8" t="s">
        <v>158</v>
      </c>
      <c r="C110" s="15" t="s">
        <v>342</v>
      </c>
    </row>
    <row r="111" ht="45.0" customHeight="1">
      <c r="A111" s="8">
        <v>110.0</v>
      </c>
      <c r="B111" s="8" t="s">
        <v>159</v>
      </c>
      <c r="C111" s="15" t="s">
        <v>342</v>
      </c>
    </row>
    <row r="112" ht="45.0" customHeight="1">
      <c r="A112" s="8">
        <v>111.0</v>
      </c>
      <c r="B112" s="8" t="s">
        <v>160</v>
      </c>
      <c r="C112" s="15" t="s">
        <v>342</v>
      </c>
    </row>
    <row r="113" ht="45.0" customHeight="1">
      <c r="A113" s="8">
        <v>112.0</v>
      </c>
      <c r="B113" s="8" t="s">
        <v>161</v>
      </c>
      <c r="C113" s="15" t="s">
        <v>342</v>
      </c>
    </row>
    <row r="114" ht="45.0" customHeight="1">
      <c r="A114" s="8">
        <v>113.0</v>
      </c>
      <c r="B114" s="8" t="s">
        <v>162</v>
      </c>
      <c r="C114" s="15" t="s">
        <v>342</v>
      </c>
    </row>
    <row r="115" ht="45.0" customHeight="1">
      <c r="A115" s="8">
        <v>114.0</v>
      </c>
      <c r="B115" s="8" t="s">
        <v>163</v>
      </c>
      <c r="C115" s="15" t="s">
        <v>342</v>
      </c>
    </row>
    <row r="116" ht="45.0" customHeight="1">
      <c r="A116" s="8">
        <v>115.0</v>
      </c>
      <c r="B116" s="8" t="s">
        <v>164</v>
      </c>
      <c r="C116" s="15" t="s">
        <v>342</v>
      </c>
    </row>
    <row r="117" ht="45.0" customHeight="1">
      <c r="A117" s="8">
        <v>116.0</v>
      </c>
      <c r="B117" s="8" t="s">
        <v>165</v>
      </c>
      <c r="C117" s="15" t="s">
        <v>342</v>
      </c>
    </row>
    <row r="118" ht="45.0" customHeight="1">
      <c r="A118" s="8">
        <v>117.0</v>
      </c>
      <c r="B118" s="8" t="s">
        <v>166</v>
      </c>
      <c r="C118" s="15" t="s">
        <v>342</v>
      </c>
    </row>
    <row r="119" ht="45.0" customHeight="1">
      <c r="A119" s="8">
        <v>118.0</v>
      </c>
      <c r="B119" s="8" t="s">
        <v>167</v>
      </c>
      <c r="C119" s="15" t="s">
        <v>342</v>
      </c>
    </row>
    <row r="120" ht="45.0" customHeight="1">
      <c r="A120" s="8">
        <v>119.0</v>
      </c>
      <c r="B120" s="8" t="s">
        <v>168</v>
      </c>
      <c r="C120" s="15" t="s">
        <v>342</v>
      </c>
    </row>
    <row r="121" ht="45.0" customHeight="1">
      <c r="A121" s="8">
        <v>120.0</v>
      </c>
      <c r="B121" s="8" t="s">
        <v>169</v>
      </c>
      <c r="C121" s="15" t="s">
        <v>342</v>
      </c>
    </row>
    <row r="122" ht="45.0" customHeight="1">
      <c r="A122" s="8">
        <v>121.0</v>
      </c>
      <c r="B122" s="8" t="s">
        <v>170</v>
      </c>
      <c r="C122" s="15" t="s">
        <v>342</v>
      </c>
    </row>
    <row r="123" ht="45.0" customHeight="1">
      <c r="A123" s="8">
        <v>122.0</v>
      </c>
      <c r="B123" s="8" t="s">
        <v>171</v>
      </c>
      <c r="C123" s="15" t="s">
        <v>342</v>
      </c>
    </row>
    <row r="124" ht="45.0" customHeight="1">
      <c r="A124" s="8">
        <v>123.0</v>
      </c>
      <c r="B124" s="8" t="s">
        <v>172</v>
      </c>
      <c r="C124" s="15" t="s">
        <v>342</v>
      </c>
    </row>
    <row r="125" ht="45.0" customHeight="1">
      <c r="A125" s="8">
        <v>124.0</v>
      </c>
      <c r="B125" s="8" t="s">
        <v>173</v>
      </c>
      <c r="C125" s="15" t="s">
        <v>342</v>
      </c>
    </row>
    <row r="126" ht="45.0" customHeight="1">
      <c r="A126" s="8">
        <v>125.0</v>
      </c>
      <c r="B126" s="8" t="s">
        <v>174</v>
      </c>
      <c r="C126" s="15" t="s">
        <v>342</v>
      </c>
    </row>
    <row r="127" ht="45.0" customHeight="1">
      <c r="A127" s="8">
        <v>126.0</v>
      </c>
      <c r="B127" s="8" t="s">
        <v>175</v>
      </c>
      <c r="C127" s="15" t="s">
        <v>342</v>
      </c>
    </row>
    <row r="128" ht="45.0" customHeight="1">
      <c r="A128" s="8">
        <v>127.0</v>
      </c>
      <c r="B128" s="8" t="s">
        <v>176</v>
      </c>
      <c r="C128" s="15" t="s">
        <v>342</v>
      </c>
    </row>
    <row r="129" ht="45.0" customHeight="1">
      <c r="A129" s="8">
        <v>128.0</v>
      </c>
      <c r="B129" s="8" t="s">
        <v>177</v>
      </c>
      <c r="C129" s="15" t="s">
        <v>342</v>
      </c>
    </row>
    <row r="130" ht="45.0" customHeight="1">
      <c r="A130" s="8">
        <v>129.0</v>
      </c>
      <c r="B130" s="8" t="s">
        <v>178</v>
      </c>
      <c r="C130" s="15" t="s">
        <v>342</v>
      </c>
    </row>
    <row r="131" ht="45.0" customHeight="1">
      <c r="A131" s="8">
        <v>130.0</v>
      </c>
      <c r="B131" s="8" t="s">
        <v>179</v>
      </c>
      <c r="C131" s="15" t="s">
        <v>342</v>
      </c>
    </row>
    <row r="132" ht="45.0" customHeight="1">
      <c r="A132" s="8">
        <v>131.0</v>
      </c>
      <c r="B132" s="8" t="s">
        <v>180</v>
      </c>
      <c r="C132" s="15" t="s">
        <v>342</v>
      </c>
    </row>
    <row r="133" ht="45.0" customHeight="1">
      <c r="A133" s="8">
        <v>132.0</v>
      </c>
      <c r="B133" s="8" t="s">
        <v>181</v>
      </c>
      <c r="C133" s="15" t="s">
        <v>342</v>
      </c>
    </row>
    <row r="134" ht="45.0" customHeight="1">
      <c r="A134" s="8">
        <v>133.0</v>
      </c>
      <c r="B134" s="8" t="s">
        <v>182</v>
      </c>
      <c r="C134" s="15" t="s">
        <v>342</v>
      </c>
    </row>
    <row r="135" ht="45.0" customHeight="1">
      <c r="A135" s="8">
        <v>134.0</v>
      </c>
      <c r="B135" s="8" t="s">
        <v>183</v>
      </c>
      <c r="C135" s="15" t="s">
        <v>342</v>
      </c>
    </row>
    <row r="136" ht="45.0" customHeight="1">
      <c r="A136" s="8">
        <v>135.0</v>
      </c>
      <c r="B136" s="8" t="s">
        <v>184</v>
      </c>
      <c r="C136" s="15" t="s">
        <v>342</v>
      </c>
    </row>
    <row r="137" ht="45.0" customHeight="1">
      <c r="A137" s="8">
        <v>136.0</v>
      </c>
      <c r="B137" s="8" t="s">
        <v>187</v>
      </c>
      <c r="C137" s="15" t="s">
        <v>342</v>
      </c>
    </row>
    <row r="138" ht="45.0" customHeight="1">
      <c r="A138" s="8">
        <v>137.0</v>
      </c>
      <c r="B138" s="8" t="s">
        <v>188</v>
      </c>
      <c r="C138" s="15" t="s">
        <v>342</v>
      </c>
    </row>
    <row r="139" ht="45.0" customHeight="1">
      <c r="A139" s="8">
        <v>138.0</v>
      </c>
      <c r="B139" s="8" t="s">
        <v>189</v>
      </c>
      <c r="C139" s="15" t="s">
        <v>342</v>
      </c>
    </row>
    <row r="140" ht="45.0" customHeight="1">
      <c r="A140" s="8">
        <v>139.0</v>
      </c>
      <c r="B140" s="8" t="s">
        <v>190</v>
      </c>
      <c r="C140" s="15" t="s">
        <v>342</v>
      </c>
    </row>
    <row r="141" ht="45.0" customHeight="1">
      <c r="A141" s="8">
        <v>140.0</v>
      </c>
      <c r="B141" s="8" t="s">
        <v>191</v>
      </c>
      <c r="C141" s="15" t="s">
        <v>342</v>
      </c>
    </row>
    <row r="142" ht="45.0" customHeight="1">
      <c r="A142" s="8">
        <v>141.0</v>
      </c>
      <c r="B142" s="8" t="s">
        <v>192</v>
      </c>
      <c r="C142" s="15" t="s">
        <v>342</v>
      </c>
    </row>
    <row r="143" ht="45.0" customHeight="1">
      <c r="A143" s="8">
        <v>142.0</v>
      </c>
      <c r="B143" s="8" t="s">
        <v>193</v>
      </c>
      <c r="C143" s="15" t="s">
        <v>342</v>
      </c>
    </row>
    <row r="144" ht="45.0" customHeight="1">
      <c r="A144" s="8">
        <v>143.0</v>
      </c>
      <c r="B144" s="8" t="s">
        <v>194</v>
      </c>
      <c r="C144" s="15" t="s">
        <v>342</v>
      </c>
    </row>
    <row r="145" ht="45.0" customHeight="1">
      <c r="A145" s="8">
        <v>144.0</v>
      </c>
      <c r="B145" s="8" t="s">
        <v>195</v>
      </c>
      <c r="C145" s="15" t="s">
        <v>342</v>
      </c>
    </row>
    <row r="146" ht="45.0" customHeight="1">
      <c r="A146" s="8">
        <v>145.0</v>
      </c>
      <c r="B146" s="8" t="s">
        <v>196</v>
      </c>
      <c r="C146" s="15" t="s">
        <v>342</v>
      </c>
    </row>
    <row r="147" ht="45.0" customHeight="1">
      <c r="A147" s="8">
        <v>146.0</v>
      </c>
      <c r="B147" s="8" t="s">
        <v>197</v>
      </c>
      <c r="C147" s="15" t="s">
        <v>342</v>
      </c>
    </row>
    <row r="148" ht="45.0" customHeight="1">
      <c r="A148" s="8">
        <v>147.0</v>
      </c>
      <c r="B148" s="8" t="s">
        <v>198</v>
      </c>
      <c r="C148" s="15" t="s">
        <v>342</v>
      </c>
    </row>
    <row r="149" ht="45.0" customHeight="1">
      <c r="A149" s="8">
        <v>148.0</v>
      </c>
      <c r="B149" s="8" t="s">
        <v>199</v>
      </c>
      <c r="C149" s="15" t="s">
        <v>342</v>
      </c>
    </row>
    <row r="150" ht="45.0" customHeight="1">
      <c r="A150" s="8">
        <v>149.0</v>
      </c>
      <c r="B150" s="8" t="s">
        <v>200</v>
      </c>
      <c r="C150" s="15" t="s">
        <v>342</v>
      </c>
    </row>
    <row r="151" ht="45.0" customHeight="1">
      <c r="A151" s="8">
        <v>150.0</v>
      </c>
      <c r="B151" s="8" t="s">
        <v>201</v>
      </c>
      <c r="C151" s="15" t="s">
        <v>342</v>
      </c>
    </row>
    <row r="152" ht="45.0" customHeight="1">
      <c r="A152" s="8">
        <v>151.0</v>
      </c>
      <c r="B152" s="8" t="s">
        <v>204</v>
      </c>
      <c r="C152" s="15" t="s">
        <v>342</v>
      </c>
    </row>
    <row r="153" ht="45.0" customHeight="1">
      <c r="A153" s="8">
        <v>152.0</v>
      </c>
      <c r="B153" s="8" t="s">
        <v>205</v>
      </c>
      <c r="C153" s="15" t="s">
        <v>342</v>
      </c>
    </row>
    <row r="154" ht="45.0" customHeight="1">
      <c r="A154" s="8">
        <v>153.0</v>
      </c>
      <c r="B154" s="8" t="s">
        <v>206</v>
      </c>
      <c r="C154" s="15" t="s">
        <v>342</v>
      </c>
    </row>
    <row r="155" ht="45.0" customHeight="1">
      <c r="A155" s="8">
        <v>154.0</v>
      </c>
      <c r="B155" s="8" t="s">
        <v>207</v>
      </c>
      <c r="C155" s="15" t="s">
        <v>342</v>
      </c>
    </row>
    <row r="156" ht="45.0" customHeight="1">
      <c r="A156" s="8">
        <v>155.0</v>
      </c>
      <c r="B156" s="8" t="s">
        <v>208</v>
      </c>
      <c r="C156" s="15" t="s">
        <v>342</v>
      </c>
    </row>
    <row r="157" ht="45.0" customHeight="1">
      <c r="A157" s="8">
        <v>156.0</v>
      </c>
      <c r="B157" s="8" t="s">
        <v>209</v>
      </c>
      <c r="C157" s="15" t="s">
        <v>342</v>
      </c>
    </row>
    <row r="158" ht="45.0" customHeight="1">
      <c r="A158" s="8">
        <v>157.0</v>
      </c>
      <c r="B158" s="8" t="s">
        <v>210</v>
      </c>
      <c r="C158" s="15" t="s">
        <v>342</v>
      </c>
    </row>
    <row r="159" ht="45.0" customHeight="1">
      <c r="A159" s="8">
        <v>158.0</v>
      </c>
      <c r="B159" s="8" t="s">
        <v>211</v>
      </c>
      <c r="C159" s="15" t="s">
        <v>342</v>
      </c>
    </row>
    <row r="160" ht="45.0" customHeight="1">
      <c r="A160" s="8">
        <v>159.0</v>
      </c>
      <c r="B160" s="8" t="s">
        <v>212</v>
      </c>
      <c r="C160" s="15" t="s">
        <v>342</v>
      </c>
    </row>
    <row r="161" ht="45.0" customHeight="1">
      <c r="A161" s="8">
        <v>160.0</v>
      </c>
      <c r="B161" s="8" t="s">
        <v>213</v>
      </c>
      <c r="C161" s="15" t="s">
        <v>342</v>
      </c>
    </row>
    <row r="162" ht="45.0" customHeight="1">
      <c r="A162" s="8">
        <v>161.0</v>
      </c>
      <c r="B162" s="8" t="s">
        <v>214</v>
      </c>
      <c r="C162" s="15" t="s">
        <v>342</v>
      </c>
    </row>
    <row r="163" ht="45.0" customHeight="1">
      <c r="A163" s="8">
        <v>162.0</v>
      </c>
      <c r="B163" s="8" t="s">
        <v>215</v>
      </c>
      <c r="C163" s="15" t="s">
        <v>342</v>
      </c>
    </row>
    <row r="164" ht="45.0" customHeight="1">
      <c r="A164" s="8">
        <v>163.0</v>
      </c>
      <c r="B164" s="8" t="s">
        <v>216</v>
      </c>
      <c r="C164" s="15" t="s">
        <v>342</v>
      </c>
    </row>
    <row r="165" ht="45.0" customHeight="1">
      <c r="A165" s="8">
        <v>164.0</v>
      </c>
      <c r="B165" s="8" t="s">
        <v>217</v>
      </c>
      <c r="C165" s="15" t="s">
        <v>342</v>
      </c>
    </row>
    <row r="166" ht="45.0" customHeight="1">
      <c r="A166" s="8">
        <v>165.0</v>
      </c>
      <c r="B166" s="8" t="s">
        <v>218</v>
      </c>
      <c r="C166" s="15" t="s">
        <v>342</v>
      </c>
    </row>
    <row r="167" ht="45.0" customHeight="1">
      <c r="A167" s="8">
        <v>166.0</v>
      </c>
      <c r="B167" s="8" t="s">
        <v>220</v>
      </c>
      <c r="C167" s="15" t="s">
        <v>342</v>
      </c>
    </row>
    <row r="168" ht="45.0" customHeight="1">
      <c r="A168" s="8">
        <v>167.0</v>
      </c>
      <c r="B168" s="8" t="s">
        <v>221</v>
      </c>
      <c r="C168" s="15" t="s">
        <v>342</v>
      </c>
    </row>
    <row r="169" ht="45.0" customHeight="1">
      <c r="A169" s="8">
        <v>168.0</v>
      </c>
      <c r="B169" s="8" t="s">
        <v>222</v>
      </c>
      <c r="C169" s="15" t="s">
        <v>342</v>
      </c>
    </row>
    <row r="170" ht="45.0" customHeight="1">
      <c r="A170" s="8">
        <v>169.0</v>
      </c>
      <c r="B170" s="8" t="s">
        <v>223</v>
      </c>
      <c r="C170" s="15" t="s">
        <v>342</v>
      </c>
    </row>
    <row r="171" ht="45.0" customHeight="1">
      <c r="A171" s="8">
        <v>170.0</v>
      </c>
      <c r="B171" s="8" t="s">
        <v>224</v>
      </c>
      <c r="C171" s="15" t="s">
        <v>342</v>
      </c>
    </row>
    <row r="172" ht="45.0" customHeight="1">
      <c r="A172" s="8">
        <v>171.0</v>
      </c>
      <c r="B172" s="8" t="s">
        <v>225</v>
      </c>
      <c r="C172" s="15" t="s">
        <v>342</v>
      </c>
    </row>
    <row r="173" ht="45.0" customHeight="1">
      <c r="A173" s="8">
        <v>172.0</v>
      </c>
      <c r="B173" s="8" t="s">
        <v>226</v>
      </c>
      <c r="C173" s="15" t="s">
        <v>342</v>
      </c>
    </row>
    <row r="174" ht="45.0" customHeight="1">
      <c r="A174" s="8">
        <v>173.0</v>
      </c>
      <c r="B174" s="8" t="s">
        <v>227</v>
      </c>
      <c r="C174" s="15" t="s">
        <v>342</v>
      </c>
    </row>
    <row r="175" ht="45.0" customHeight="1">
      <c r="A175" s="8">
        <v>174.0</v>
      </c>
      <c r="B175" s="8" t="s">
        <v>228</v>
      </c>
      <c r="C175" s="15" t="s">
        <v>342</v>
      </c>
    </row>
    <row r="176" ht="45.0" customHeight="1">
      <c r="A176" s="8">
        <v>175.0</v>
      </c>
      <c r="B176" s="8" t="s">
        <v>229</v>
      </c>
      <c r="C176" s="15" t="s">
        <v>342</v>
      </c>
    </row>
    <row r="177" ht="45.0" customHeight="1">
      <c r="A177" s="8">
        <v>176.0</v>
      </c>
      <c r="B177" s="8" t="s">
        <v>230</v>
      </c>
      <c r="C177" s="15" t="s">
        <v>342</v>
      </c>
    </row>
    <row r="178" ht="45.0" customHeight="1">
      <c r="A178" s="8">
        <v>177.0</v>
      </c>
      <c r="B178" s="8" t="s">
        <v>231</v>
      </c>
      <c r="C178" s="15" t="s">
        <v>342</v>
      </c>
    </row>
    <row r="179" ht="45.0" customHeight="1">
      <c r="A179" s="8">
        <v>178.0</v>
      </c>
      <c r="B179" s="8" t="s">
        <v>232</v>
      </c>
      <c r="C179" s="15" t="s">
        <v>342</v>
      </c>
    </row>
    <row r="180" ht="45.0" customHeight="1">
      <c r="A180" s="8">
        <v>179.0</v>
      </c>
      <c r="B180" s="8" t="s">
        <v>233</v>
      </c>
      <c r="C180" s="15" t="s">
        <v>342</v>
      </c>
    </row>
    <row r="181" ht="45.0" customHeight="1">
      <c r="A181" s="8">
        <v>180.0</v>
      </c>
      <c r="B181" s="8" t="s">
        <v>234</v>
      </c>
      <c r="C181" s="15" t="s">
        <v>342</v>
      </c>
    </row>
    <row r="182" ht="45.0" customHeight="1">
      <c r="A182" s="8">
        <v>181.0</v>
      </c>
      <c r="B182" s="8" t="s">
        <v>235</v>
      </c>
      <c r="C182" s="15" t="s">
        <v>342</v>
      </c>
    </row>
    <row r="183" ht="45.0" customHeight="1">
      <c r="A183" s="8">
        <v>182.0</v>
      </c>
      <c r="B183" s="8" t="s">
        <v>236</v>
      </c>
      <c r="C183" s="15" t="s">
        <v>342</v>
      </c>
    </row>
    <row r="184" ht="45.0" customHeight="1">
      <c r="A184" s="8">
        <v>183.0</v>
      </c>
      <c r="B184" s="8" t="s">
        <v>237</v>
      </c>
      <c r="C184" s="15" t="s">
        <v>342</v>
      </c>
    </row>
    <row r="185" ht="45.0" customHeight="1">
      <c r="A185" s="8">
        <v>184.0</v>
      </c>
      <c r="B185" s="8" t="s">
        <v>238</v>
      </c>
      <c r="C185" s="15" t="s">
        <v>342</v>
      </c>
    </row>
    <row r="186" ht="45.0" customHeight="1">
      <c r="A186" s="8">
        <v>185.0</v>
      </c>
      <c r="B186" s="8" t="s">
        <v>239</v>
      </c>
      <c r="C186" s="15" t="s">
        <v>342</v>
      </c>
    </row>
    <row r="187" ht="45.0" customHeight="1">
      <c r="A187" s="8">
        <v>186.0</v>
      </c>
      <c r="B187" s="8" t="s">
        <v>240</v>
      </c>
      <c r="C187" s="15" t="s">
        <v>342</v>
      </c>
    </row>
    <row r="188" ht="45.0" customHeight="1">
      <c r="A188" s="8">
        <v>187.0</v>
      </c>
      <c r="B188" s="8" t="s">
        <v>241</v>
      </c>
      <c r="C188" s="15" t="s">
        <v>342</v>
      </c>
    </row>
    <row r="189" ht="45.0" customHeight="1">
      <c r="A189" s="8">
        <v>188.0</v>
      </c>
      <c r="B189" s="8" t="s">
        <v>242</v>
      </c>
      <c r="C189" s="15" t="s">
        <v>342</v>
      </c>
    </row>
    <row r="190" ht="45.0" customHeight="1">
      <c r="A190" s="8">
        <v>189.0</v>
      </c>
      <c r="B190" s="8" t="s">
        <v>243</v>
      </c>
      <c r="C190" s="15" t="s">
        <v>342</v>
      </c>
    </row>
    <row r="191" ht="45.0" customHeight="1">
      <c r="A191" s="8">
        <v>190.0</v>
      </c>
      <c r="B191" s="8" t="s">
        <v>244</v>
      </c>
      <c r="C191" s="15" t="s">
        <v>342</v>
      </c>
    </row>
    <row r="192" ht="45.0" customHeight="1">
      <c r="A192" s="8">
        <v>191.0</v>
      </c>
      <c r="B192" s="8" t="s">
        <v>247</v>
      </c>
      <c r="C192" s="15" t="s">
        <v>342</v>
      </c>
    </row>
    <row r="193" ht="45.0" customHeight="1">
      <c r="A193" s="8">
        <v>192.0</v>
      </c>
      <c r="B193" s="8" t="s">
        <v>248</v>
      </c>
      <c r="C193" s="15" t="s">
        <v>342</v>
      </c>
    </row>
    <row r="194" ht="45.0" customHeight="1">
      <c r="A194" s="8">
        <v>193.0</v>
      </c>
      <c r="B194" s="8" t="s">
        <v>249</v>
      </c>
      <c r="C194" s="15" t="s">
        <v>342</v>
      </c>
    </row>
    <row r="195" ht="45.0" customHeight="1">
      <c r="A195" s="8">
        <v>194.0</v>
      </c>
      <c r="B195" s="8" t="s">
        <v>250</v>
      </c>
      <c r="C195" s="15" t="s">
        <v>342</v>
      </c>
    </row>
    <row r="196" ht="45.0" customHeight="1">
      <c r="A196" s="8">
        <v>195.0</v>
      </c>
      <c r="B196" s="8" t="s">
        <v>251</v>
      </c>
      <c r="C196" s="15" t="s">
        <v>342</v>
      </c>
    </row>
    <row r="197" ht="45.0" customHeight="1">
      <c r="A197" s="8">
        <v>196.0</v>
      </c>
      <c r="B197" s="8" t="s">
        <v>252</v>
      </c>
      <c r="C197" s="15" t="s">
        <v>342</v>
      </c>
    </row>
    <row r="198" ht="45.0" customHeight="1">
      <c r="A198" s="8">
        <v>197.0</v>
      </c>
      <c r="B198" s="8" t="s">
        <v>253</v>
      </c>
      <c r="C198" s="15" t="s">
        <v>342</v>
      </c>
    </row>
    <row r="199" ht="45.0" customHeight="1">
      <c r="A199" s="8">
        <v>198.0</v>
      </c>
      <c r="B199" s="8" t="s">
        <v>254</v>
      </c>
      <c r="C199" s="15" t="s">
        <v>342</v>
      </c>
    </row>
    <row r="200" ht="45.0" customHeight="1">
      <c r="A200" s="8">
        <v>199.0</v>
      </c>
      <c r="B200" s="8" t="s">
        <v>255</v>
      </c>
      <c r="C200" s="15" t="s">
        <v>342</v>
      </c>
    </row>
    <row r="201" ht="45.0" customHeight="1">
      <c r="A201" s="8">
        <v>200.0</v>
      </c>
      <c r="B201" s="8" t="s">
        <v>256</v>
      </c>
      <c r="C201" s="15" t="s">
        <v>342</v>
      </c>
    </row>
    <row r="202" ht="45.0" customHeight="1">
      <c r="A202" s="8">
        <v>201.0</v>
      </c>
      <c r="B202" s="8" t="s">
        <v>257</v>
      </c>
      <c r="C202" s="15" t="s">
        <v>342</v>
      </c>
    </row>
    <row r="203" ht="45.0" customHeight="1">
      <c r="A203" s="8">
        <v>202.0</v>
      </c>
      <c r="B203" s="8" t="s">
        <v>258</v>
      </c>
      <c r="C203" s="15" t="s">
        <v>342</v>
      </c>
    </row>
    <row r="204" ht="45.0" customHeight="1">
      <c r="A204" s="8">
        <v>203.0</v>
      </c>
      <c r="B204" s="8" t="s">
        <v>259</v>
      </c>
      <c r="C204" s="15" t="s">
        <v>342</v>
      </c>
    </row>
    <row r="205" ht="45.0" customHeight="1">
      <c r="A205" s="8">
        <v>204.0</v>
      </c>
      <c r="B205" s="8" t="s">
        <v>260</v>
      </c>
      <c r="C205" s="15" t="s">
        <v>342</v>
      </c>
    </row>
    <row r="206" ht="45.0" customHeight="1">
      <c r="A206" s="8">
        <v>205.0</v>
      </c>
      <c r="B206" s="8" t="s">
        <v>261</v>
      </c>
      <c r="C206" s="15" t="s">
        <v>342</v>
      </c>
    </row>
    <row r="207" ht="45.0" customHeight="1">
      <c r="A207" s="8">
        <v>206.0</v>
      </c>
      <c r="B207" s="8" t="s">
        <v>262</v>
      </c>
      <c r="C207" s="15" t="s">
        <v>342</v>
      </c>
    </row>
    <row r="208" ht="45.0" customHeight="1">
      <c r="A208" s="8">
        <v>207.0</v>
      </c>
      <c r="B208" s="8" t="s">
        <v>263</v>
      </c>
      <c r="C208" s="15" t="s">
        <v>342</v>
      </c>
    </row>
    <row r="209" ht="45.0" customHeight="1">
      <c r="A209" s="8">
        <v>208.0</v>
      </c>
      <c r="B209" s="8" t="s">
        <v>264</v>
      </c>
      <c r="C209" s="15" t="s">
        <v>342</v>
      </c>
    </row>
    <row r="210" ht="45.0" customHeight="1">
      <c r="A210" s="8">
        <v>209.0</v>
      </c>
      <c r="B210" s="8" t="s">
        <v>265</v>
      </c>
      <c r="C210" s="15" t="s">
        <v>342</v>
      </c>
    </row>
    <row r="211" ht="45.0" customHeight="1">
      <c r="A211" s="8">
        <v>210.0</v>
      </c>
      <c r="B211" s="8" t="s">
        <v>266</v>
      </c>
      <c r="C211" s="15" t="s">
        <v>342</v>
      </c>
    </row>
    <row r="212" ht="45.0" customHeight="1">
      <c r="A212" s="8">
        <v>211.0</v>
      </c>
      <c r="B212" s="8" t="s">
        <v>267</v>
      </c>
      <c r="C212" s="15" t="s">
        <v>342</v>
      </c>
    </row>
    <row r="213" ht="45.0" customHeight="1">
      <c r="A213" s="8">
        <v>212.0</v>
      </c>
      <c r="B213" s="8" t="s">
        <v>268</v>
      </c>
      <c r="C213" s="15" t="s">
        <v>342</v>
      </c>
    </row>
    <row r="214" ht="45.0" customHeight="1">
      <c r="A214" s="8">
        <v>213.0</v>
      </c>
      <c r="B214" s="8" t="s">
        <v>269</v>
      </c>
      <c r="C214" s="15" t="s">
        <v>342</v>
      </c>
    </row>
    <row r="215" ht="45.0" customHeight="1">
      <c r="A215" s="8">
        <v>214.0</v>
      </c>
      <c r="B215" s="8" t="s">
        <v>270</v>
      </c>
      <c r="C215" s="15" t="s">
        <v>342</v>
      </c>
    </row>
    <row r="216" ht="45.0" customHeight="1">
      <c r="A216" s="8">
        <v>215.0</v>
      </c>
      <c r="B216" s="8" t="s">
        <v>271</v>
      </c>
      <c r="C216" s="15" t="s">
        <v>342</v>
      </c>
    </row>
    <row r="217" ht="45.0" customHeight="1">
      <c r="A217" s="8">
        <v>216.0</v>
      </c>
      <c r="B217" s="8" t="s">
        <v>273</v>
      </c>
      <c r="C217" s="15" t="s">
        <v>342</v>
      </c>
    </row>
    <row r="218" ht="45.0" customHeight="1">
      <c r="A218" s="8">
        <v>217.0</v>
      </c>
      <c r="B218" s="8" t="s">
        <v>274</v>
      </c>
      <c r="C218" s="15" t="s">
        <v>342</v>
      </c>
    </row>
    <row r="219" ht="45.0" customHeight="1">
      <c r="A219" s="8">
        <v>218.0</v>
      </c>
      <c r="B219" s="8" t="s">
        <v>275</v>
      </c>
      <c r="C219" s="15" t="s">
        <v>342</v>
      </c>
    </row>
    <row r="220" ht="45.0" customHeight="1">
      <c r="A220" s="8">
        <v>219.0</v>
      </c>
      <c r="B220" s="8" t="s">
        <v>276</v>
      </c>
      <c r="C220" s="15" t="s">
        <v>342</v>
      </c>
    </row>
    <row r="221" ht="45.0" customHeight="1">
      <c r="A221" s="8">
        <v>220.0</v>
      </c>
      <c r="B221" s="8" t="s">
        <v>277</v>
      </c>
      <c r="C221" s="15" t="s">
        <v>342</v>
      </c>
    </row>
    <row r="222" ht="45.0" customHeight="1">
      <c r="A222" s="8">
        <v>221.0</v>
      </c>
      <c r="B222" s="8" t="s">
        <v>278</v>
      </c>
      <c r="C222" s="15" t="s">
        <v>342</v>
      </c>
    </row>
    <row r="223" ht="45.0" customHeight="1">
      <c r="A223" s="8">
        <v>222.0</v>
      </c>
      <c r="B223" s="8" t="s">
        <v>279</v>
      </c>
      <c r="C223" s="15" t="s">
        <v>342</v>
      </c>
    </row>
    <row r="224" ht="45.0" customHeight="1">
      <c r="A224" s="8">
        <v>223.0</v>
      </c>
      <c r="B224" s="8" t="s">
        <v>280</v>
      </c>
      <c r="C224" s="15" t="s">
        <v>342</v>
      </c>
    </row>
    <row r="225" ht="45.0" customHeight="1">
      <c r="A225" s="8">
        <v>224.0</v>
      </c>
      <c r="B225" s="8" t="s">
        <v>281</v>
      </c>
      <c r="C225" s="15" t="s">
        <v>342</v>
      </c>
    </row>
    <row r="226" ht="45.0" customHeight="1">
      <c r="A226" s="8">
        <v>225.0</v>
      </c>
      <c r="B226" s="8" t="s">
        <v>282</v>
      </c>
      <c r="C226" s="15" t="s">
        <v>342</v>
      </c>
    </row>
    <row r="227" ht="45.0" customHeight="1">
      <c r="A227" s="8">
        <v>226.0</v>
      </c>
      <c r="B227" s="8" t="s">
        <v>283</v>
      </c>
      <c r="C227" s="15" t="s">
        <v>342</v>
      </c>
    </row>
    <row r="228" ht="45.0" customHeight="1">
      <c r="A228" s="8">
        <v>227.0</v>
      </c>
      <c r="B228" s="8" t="s">
        <v>284</v>
      </c>
      <c r="C228" s="15" t="s">
        <v>342</v>
      </c>
    </row>
    <row r="229" ht="45.0" customHeight="1">
      <c r="A229" s="8">
        <v>228.0</v>
      </c>
      <c r="B229" s="8" t="s">
        <v>285</v>
      </c>
      <c r="C229" s="15" t="s">
        <v>342</v>
      </c>
    </row>
    <row r="230" ht="45.0" customHeight="1">
      <c r="A230" s="8">
        <v>229.0</v>
      </c>
      <c r="B230" s="8" t="s">
        <v>286</v>
      </c>
      <c r="C230" s="15" t="s">
        <v>342</v>
      </c>
    </row>
    <row r="231" ht="45.0" customHeight="1">
      <c r="A231" s="8">
        <v>230.0</v>
      </c>
      <c r="B231" s="8" t="s">
        <v>287</v>
      </c>
      <c r="C231" s="15" t="s">
        <v>342</v>
      </c>
    </row>
    <row r="232" ht="45.0" customHeight="1">
      <c r="A232" s="8">
        <v>231.0</v>
      </c>
      <c r="B232" s="8" t="s">
        <v>288</v>
      </c>
      <c r="C232" s="15" t="s">
        <v>342</v>
      </c>
    </row>
    <row r="233" ht="45.0" customHeight="1">
      <c r="A233" s="8">
        <v>232.0</v>
      </c>
      <c r="B233" s="8" t="s">
        <v>289</v>
      </c>
      <c r="C233" s="15" t="s">
        <v>342</v>
      </c>
    </row>
    <row r="234" ht="45.0" customHeight="1">
      <c r="A234" s="8">
        <v>233.0</v>
      </c>
      <c r="B234" s="8" t="s">
        <v>290</v>
      </c>
      <c r="C234" s="15" t="s">
        <v>342</v>
      </c>
    </row>
    <row r="235" ht="45.0" customHeight="1">
      <c r="A235" s="8">
        <v>234.0</v>
      </c>
      <c r="B235" s="8" t="s">
        <v>291</v>
      </c>
      <c r="C235" s="15" t="s">
        <v>342</v>
      </c>
    </row>
    <row r="236" ht="45.0" customHeight="1">
      <c r="A236" s="8">
        <v>235.0</v>
      </c>
      <c r="B236" s="8" t="s">
        <v>292</v>
      </c>
      <c r="C236" s="15" t="s">
        <v>342</v>
      </c>
    </row>
    <row r="237" ht="45.0" customHeight="1">
      <c r="A237" s="8">
        <v>236.0</v>
      </c>
      <c r="B237" s="8" t="s">
        <v>293</v>
      </c>
      <c r="C237" s="15" t="s">
        <v>342</v>
      </c>
    </row>
    <row r="238" ht="45.0" customHeight="1">
      <c r="A238" s="8">
        <v>237.0</v>
      </c>
      <c r="B238" s="8" t="s">
        <v>294</v>
      </c>
      <c r="C238" s="15" t="s">
        <v>342</v>
      </c>
    </row>
    <row r="239" ht="45.0" customHeight="1">
      <c r="A239" s="8">
        <v>238.0</v>
      </c>
      <c r="B239" s="8" t="s">
        <v>295</v>
      </c>
      <c r="C239" s="15" t="s">
        <v>342</v>
      </c>
    </row>
    <row r="240" ht="45.0" customHeight="1">
      <c r="A240" s="8">
        <v>239.0</v>
      </c>
      <c r="B240" s="8" t="s">
        <v>296</v>
      </c>
      <c r="C240" s="15" t="s">
        <v>342</v>
      </c>
    </row>
    <row r="241" ht="45.0" customHeight="1">
      <c r="A241" s="8">
        <v>240.0</v>
      </c>
      <c r="B241" s="8" t="s">
        <v>297</v>
      </c>
      <c r="C241" s="15" t="s">
        <v>342</v>
      </c>
    </row>
    <row r="242" ht="45.0" customHeight="1">
      <c r="A242" s="8">
        <v>241.0</v>
      </c>
      <c r="B242" s="8" t="s">
        <v>299</v>
      </c>
      <c r="C242" s="15" t="s">
        <v>342</v>
      </c>
    </row>
    <row r="243" ht="45.0" customHeight="1">
      <c r="A243" s="8">
        <v>242.0</v>
      </c>
      <c r="B243" s="8" t="s">
        <v>300</v>
      </c>
      <c r="C243" s="15" t="s">
        <v>342</v>
      </c>
    </row>
    <row r="244" ht="45.0" customHeight="1">
      <c r="A244" s="8">
        <v>243.0</v>
      </c>
      <c r="B244" s="8" t="s">
        <v>301</v>
      </c>
      <c r="C244" s="15" t="s">
        <v>342</v>
      </c>
    </row>
    <row r="245" ht="45.0" customHeight="1">
      <c r="A245" s="8">
        <v>244.0</v>
      </c>
      <c r="B245" s="8" t="s">
        <v>302</v>
      </c>
      <c r="C245" s="15" t="s">
        <v>342</v>
      </c>
    </row>
    <row r="246" ht="45.0" customHeight="1">
      <c r="A246" s="8">
        <v>245.0</v>
      </c>
      <c r="B246" s="8" t="s">
        <v>303</v>
      </c>
      <c r="C246" s="15" t="s">
        <v>342</v>
      </c>
    </row>
    <row r="247" ht="45.0" customHeight="1">
      <c r="A247" s="8">
        <v>246.0</v>
      </c>
      <c r="B247" s="8" t="s">
        <v>304</v>
      </c>
      <c r="C247" s="15" t="s">
        <v>342</v>
      </c>
    </row>
    <row r="248" ht="45.0" customHeight="1">
      <c r="A248" s="8">
        <v>247.0</v>
      </c>
      <c r="B248" s="8" t="s">
        <v>305</v>
      </c>
      <c r="C248" s="15" t="s">
        <v>342</v>
      </c>
    </row>
    <row r="249" ht="45.0" customHeight="1">
      <c r="A249" s="8">
        <v>248.0</v>
      </c>
      <c r="B249" s="8" t="s">
        <v>306</v>
      </c>
      <c r="C249" s="15" t="s">
        <v>342</v>
      </c>
    </row>
    <row r="250" ht="45.0" customHeight="1">
      <c r="A250" s="8">
        <v>249.0</v>
      </c>
      <c r="B250" s="8" t="s">
        <v>307</v>
      </c>
      <c r="C250" s="15" t="s">
        <v>342</v>
      </c>
    </row>
    <row r="251" ht="45.0" customHeight="1">
      <c r="A251" s="8">
        <v>250.0</v>
      </c>
      <c r="B251" s="8" t="s">
        <v>308</v>
      </c>
      <c r="C251" s="15" t="s">
        <v>342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100.0"/>
    <col customWidth="1" min="4" max="26" width="8.86"/>
  </cols>
  <sheetData>
    <row r="1">
      <c r="A1" s="14" t="s">
        <v>19</v>
      </c>
      <c r="B1" s="14" t="s">
        <v>22</v>
      </c>
      <c r="C1" s="14" t="s">
        <v>320</v>
      </c>
    </row>
    <row r="2" ht="45.0" customHeight="1">
      <c r="A2" s="8">
        <v>1.0</v>
      </c>
      <c r="B2" s="8" t="s">
        <v>39</v>
      </c>
      <c r="C2" s="15" t="s">
        <v>343</v>
      </c>
    </row>
    <row r="3" ht="45.0" customHeight="1">
      <c r="A3" s="8">
        <v>2.0</v>
      </c>
      <c r="B3" s="8" t="s">
        <v>44</v>
      </c>
      <c r="C3" s="15" t="s">
        <v>344</v>
      </c>
    </row>
    <row r="4" ht="45.0" customHeight="1">
      <c r="A4" s="8">
        <v>3.0</v>
      </c>
      <c r="B4" s="8" t="s">
        <v>45</v>
      </c>
      <c r="C4" s="15" t="s">
        <v>345</v>
      </c>
    </row>
    <row r="5" ht="45.0" customHeight="1">
      <c r="A5" s="8">
        <v>4.0</v>
      </c>
      <c r="B5" s="8" t="s">
        <v>47</v>
      </c>
      <c r="C5" s="15" t="s">
        <v>346</v>
      </c>
    </row>
    <row r="6" ht="45.0" customHeight="1">
      <c r="A6" s="8">
        <v>5.0</v>
      </c>
      <c r="B6" s="8" t="s">
        <v>48</v>
      </c>
      <c r="C6" s="15" t="s">
        <v>347</v>
      </c>
    </row>
    <row r="7" ht="45.0" customHeight="1">
      <c r="A7" s="8">
        <v>6.0</v>
      </c>
      <c r="B7" s="8" t="s">
        <v>49</v>
      </c>
      <c r="C7" s="15" t="s">
        <v>348</v>
      </c>
    </row>
    <row r="8" ht="45.0" customHeight="1">
      <c r="A8" s="8">
        <v>7.0</v>
      </c>
      <c r="B8" s="8" t="s">
        <v>50</v>
      </c>
      <c r="C8" s="15" t="s">
        <v>349</v>
      </c>
    </row>
    <row r="9" ht="45.0" customHeight="1">
      <c r="A9" s="8">
        <v>8.0</v>
      </c>
      <c r="B9" s="8" t="s">
        <v>51</v>
      </c>
      <c r="C9" s="15" t="s">
        <v>350</v>
      </c>
    </row>
    <row r="10" ht="45.0" customHeight="1">
      <c r="A10" s="8">
        <v>9.0</v>
      </c>
      <c r="B10" s="8" t="s">
        <v>52</v>
      </c>
      <c r="C10" s="15" t="s">
        <v>351</v>
      </c>
    </row>
    <row r="11" ht="45.0" customHeight="1">
      <c r="A11" s="8">
        <v>10.0</v>
      </c>
      <c r="B11" s="8" t="s">
        <v>53</v>
      </c>
      <c r="C11" s="15" t="s">
        <v>352</v>
      </c>
    </row>
    <row r="12" ht="45.0" customHeight="1">
      <c r="A12" s="8">
        <v>11.0</v>
      </c>
      <c r="B12" s="8" t="s">
        <v>54</v>
      </c>
      <c r="C12" s="15" t="s">
        <v>353</v>
      </c>
    </row>
    <row r="13" ht="45.0" customHeight="1">
      <c r="A13" s="8">
        <v>12.0</v>
      </c>
      <c r="B13" s="8" t="s">
        <v>55</v>
      </c>
      <c r="C13" s="15" t="s">
        <v>353</v>
      </c>
    </row>
    <row r="14" ht="45.0" customHeight="1">
      <c r="A14" s="8">
        <v>13.0</v>
      </c>
      <c r="B14" s="8" t="s">
        <v>56</v>
      </c>
      <c r="C14" s="15" t="s">
        <v>353</v>
      </c>
    </row>
    <row r="15" ht="45.0" customHeight="1">
      <c r="A15" s="8">
        <v>14.0</v>
      </c>
      <c r="B15" s="8" t="s">
        <v>57</v>
      </c>
      <c r="C15" s="15" t="s">
        <v>353</v>
      </c>
    </row>
    <row r="16" ht="45.0" customHeight="1">
      <c r="A16" s="8">
        <v>15.0</v>
      </c>
      <c r="B16" s="8" t="s">
        <v>58</v>
      </c>
      <c r="C16" s="15" t="s">
        <v>353</v>
      </c>
    </row>
    <row r="17" ht="45.0" customHeight="1">
      <c r="A17" s="8">
        <v>16.0</v>
      </c>
      <c r="B17" s="8" t="s">
        <v>61</v>
      </c>
      <c r="C17" s="15" t="s">
        <v>353</v>
      </c>
    </row>
    <row r="18" ht="45.0" customHeight="1">
      <c r="A18" s="8">
        <v>17.0</v>
      </c>
      <c r="B18" s="8" t="s">
        <v>62</v>
      </c>
      <c r="C18" s="15" t="s">
        <v>353</v>
      </c>
    </row>
    <row r="19" ht="45.0" customHeight="1">
      <c r="A19" s="8">
        <v>18.0</v>
      </c>
      <c r="B19" s="8" t="s">
        <v>63</v>
      </c>
      <c r="C19" s="15" t="s">
        <v>353</v>
      </c>
    </row>
    <row r="20" ht="45.0" customHeight="1">
      <c r="A20" s="8">
        <v>19.0</v>
      </c>
      <c r="B20" s="8" t="s">
        <v>64</v>
      </c>
      <c r="C20" s="15" t="s">
        <v>353</v>
      </c>
    </row>
    <row r="21" ht="45.0" customHeight="1">
      <c r="A21" s="8">
        <v>20.0</v>
      </c>
      <c r="B21" s="8" t="s">
        <v>65</v>
      </c>
      <c r="C21" s="15" t="s">
        <v>353</v>
      </c>
    </row>
    <row r="22" ht="45.0" customHeight="1">
      <c r="A22" s="8">
        <v>21.0</v>
      </c>
      <c r="B22" s="8" t="s">
        <v>66</v>
      </c>
      <c r="C22" s="15" t="s">
        <v>353</v>
      </c>
    </row>
    <row r="23" ht="45.0" customHeight="1">
      <c r="A23" s="8">
        <v>22.0</v>
      </c>
      <c r="B23" s="8" t="s">
        <v>67</v>
      </c>
      <c r="C23" s="15" t="s">
        <v>353</v>
      </c>
    </row>
    <row r="24" ht="45.0" customHeight="1">
      <c r="A24" s="8">
        <v>23.0</v>
      </c>
      <c r="B24" s="8" t="s">
        <v>68</v>
      </c>
      <c r="C24" s="15" t="s">
        <v>353</v>
      </c>
    </row>
    <row r="25" ht="45.0" customHeight="1">
      <c r="A25" s="8">
        <v>24.0</v>
      </c>
      <c r="B25" s="8" t="s">
        <v>69</v>
      </c>
      <c r="C25" s="15" t="s">
        <v>353</v>
      </c>
    </row>
    <row r="26" ht="45.0" customHeight="1">
      <c r="A26" s="8">
        <v>25.0</v>
      </c>
      <c r="B26" s="8" t="s">
        <v>70</v>
      </c>
      <c r="C26" s="15" t="s">
        <v>353</v>
      </c>
    </row>
    <row r="27" ht="45.0" customHeight="1">
      <c r="A27" s="8">
        <v>26.0</v>
      </c>
      <c r="B27" s="8" t="s">
        <v>71</v>
      </c>
      <c r="C27" s="15" t="s">
        <v>353</v>
      </c>
    </row>
    <row r="28" ht="45.0" customHeight="1">
      <c r="A28" s="8">
        <v>27.0</v>
      </c>
      <c r="B28" s="8" t="s">
        <v>72</v>
      </c>
      <c r="C28" s="15" t="s">
        <v>353</v>
      </c>
    </row>
    <row r="29" ht="45.0" customHeight="1">
      <c r="A29" s="8">
        <v>28.0</v>
      </c>
      <c r="B29" s="8" t="s">
        <v>73</v>
      </c>
      <c r="C29" s="15" t="s">
        <v>353</v>
      </c>
    </row>
    <row r="30" ht="45.0" customHeight="1">
      <c r="A30" s="8">
        <v>29.0</v>
      </c>
      <c r="B30" s="8" t="s">
        <v>74</v>
      </c>
      <c r="C30" s="15" t="s">
        <v>353</v>
      </c>
    </row>
    <row r="31" ht="45.0" customHeight="1">
      <c r="A31" s="8">
        <v>30.0</v>
      </c>
      <c r="B31" s="8" t="s">
        <v>75</v>
      </c>
      <c r="C31" s="15" t="s">
        <v>353</v>
      </c>
    </row>
    <row r="32" ht="45.0" customHeight="1">
      <c r="A32" s="8">
        <v>31.0</v>
      </c>
      <c r="B32" s="8" t="s">
        <v>76</v>
      </c>
      <c r="C32" s="15" t="s">
        <v>353</v>
      </c>
    </row>
    <row r="33" ht="45.0" customHeight="1">
      <c r="A33" s="8">
        <v>32.0</v>
      </c>
      <c r="B33" s="8" t="s">
        <v>77</v>
      </c>
      <c r="C33" s="15" t="s">
        <v>353</v>
      </c>
    </row>
    <row r="34" ht="45.0" customHeight="1">
      <c r="A34" s="8">
        <v>33.0</v>
      </c>
      <c r="B34" s="8" t="s">
        <v>78</v>
      </c>
      <c r="C34" s="15" t="s">
        <v>353</v>
      </c>
    </row>
    <row r="35" ht="45.0" customHeight="1">
      <c r="A35" s="8">
        <v>34.0</v>
      </c>
      <c r="B35" s="8" t="s">
        <v>79</v>
      </c>
      <c r="C35" s="15" t="s">
        <v>353</v>
      </c>
    </row>
    <row r="36" ht="45.0" customHeight="1">
      <c r="A36" s="8">
        <v>35.0</v>
      </c>
      <c r="B36" s="8" t="s">
        <v>80</v>
      </c>
      <c r="C36" s="15" t="s">
        <v>353</v>
      </c>
    </row>
    <row r="37" ht="45.0" customHeight="1">
      <c r="A37" s="8">
        <v>36.0</v>
      </c>
      <c r="B37" s="8" t="s">
        <v>81</v>
      </c>
      <c r="C37" s="15" t="s">
        <v>353</v>
      </c>
    </row>
    <row r="38" ht="45.0" customHeight="1">
      <c r="A38" s="8">
        <v>37.0</v>
      </c>
      <c r="B38" s="8" t="s">
        <v>82</v>
      </c>
      <c r="C38" s="15" t="s">
        <v>353</v>
      </c>
    </row>
    <row r="39" ht="45.0" customHeight="1">
      <c r="A39" s="8">
        <v>38.0</v>
      </c>
      <c r="B39" s="8" t="s">
        <v>83</v>
      </c>
      <c r="C39" s="15" t="s">
        <v>353</v>
      </c>
    </row>
    <row r="40" ht="45.0" customHeight="1">
      <c r="A40" s="8">
        <v>39.0</v>
      </c>
      <c r="B40" s="8" t="s">
        <v>84</v>
      </c>
      <c r="C40" s="15" t="s">
        <v>353</v>
      </c>
    </row>
    <row r="41" ht="45.0" customHeight="1">
      <c r="A41" s="8">
        <v>40.0</v>
      </c>
      <c r="B41" s="8" t="s">
        <v>85</v>
      </c>
      <c r="C41" s="15" t="s">
        <v>353</v>
      </c>
    </row>
    <row r="42" ht="45.0" customHeight="1">
      <c r="A42" s="8">
        <v>41.0</v>
      </c>
      <c r="B42" s="8" t="s">
        <v>86</v>
      </c>
      <c r="C42" s="15" t="s">
        <v>353</v>
      </c>
    </row>
    <row r="43" ht="45.0" customHeight="1">
      <c r="A43" s="8">
        <v>42.0</v>
      </c>
      <c r="B43" s="8" t="s">
        <v>87</v>
      </c>
      <c r="C43" s="15" t="s">
        <v>353</v>
      </c>
    </row>
    <row r="44" ht="45.0" customHeight="1">
      <c r="A44" s="8">
        <v>43.0</v>
      </c>
      <c r="B44" s="8" t="s">
        <v>88</v>
      </c>
      <c r="C44" s="15" t="s">
        <v>353</v>
      </c>
    </row>
    <row r="45" ht="45.0" customHeight="1">
      <c r="A45" s="8">
        <v>44.0</v>
      </c>
      <c r="B45" s="8" t="s">
        <v>89</v>
      </c>
      <c r="C45" s="15" t="s">
        <v>353</v>
      </c>
    </row>
    <row r="46" ht="45.0" customHeight="1">
      <c r="A46" s="8">
        <v>45.0</v>
      </c>
      <c r="B46" s="8" t="s">
        <v>90</v>
      </c>
      <c r="C46" s="15" t="s">
        <v>353</v>
      </c>
    </row>
    <row r="47" ht="45.0" customHeight="1">
      <c r="A47" s="8">
        <v>46.0</v>
      </c>
      <c r="B47" s="8" t="s">
        <v>91</v>
      </c>
      <c r="C47" s="15" t="s">
        <v>353</v>
      </c>
    </row>
    <row r="48" ht="45.0" customHeight="1">
      <c r="A48" s="8">
        <v>47.0</v>
      </c>
      <c r="B48" s="8" t="s">
        <v>92</v>
      </c>
      <c r="C48" s="15" t="s">
        <v>353</v>
      </c>
    </row>
    <row r="49" ht="45.0" customHeight="1">
      <c r="A49" s="8">
        <v>48.0</v>
      </c>
      <c r="B49" s="8" t="s">
        <v>93</v>
      </c>
      <c r="C49" s="15" t="s">
        <v>353</v>
      </c>
    </row>
    <row r="50" ht="45.0" customHeight="1">
      <c r="A50" s="8">
        <v>49.0</v>
      </c>
      <c r="B50" s="8" t="s">
        <v>94</v>
      </c>
      <c r="C50" s="15" t="s">
        <v>353</v>
      </c>
    </row>
    <row r="51" ht="45.0" customHeight="1">
      <c r="A51" s="8">
        <v>50.0</v>
      </c>
      <c r="B51" s="8" t="s">
        <v>95</v>
      </c>
      <c r="C51" s="15" t="s">
        <v>353</v>
      </c>
    </row>
    <row r="52" ht="45.0" customHeight="1">
      <c r="A52" s="8">
        <v>51.0</v>
      </c>
      <c r="B52" s="8" t="s">
        <v>96</v>
      </c>
      <c r="C52" s="15" t="s">
        <v>353</v>
      </c>
    </row>
    <row r="53" ht="45.0" customHeight="1">
      <c r="A53" s="8">
        <v>52.0</v>
      </c>
      <c r="B53" s="8" t="s">
        <v>97</v>
      </c>
      <c r="C53" s="15" t="s">
        <v>353</v>
      </c>
    </row>
    <row r="54" ht="45.0" customHeight="1">
      <c r="A54" s="8">
        <v>53.0</v>
      </c>
      <c r="B54" s="8" t="s">
        <v>98</v>
      </c>
      <c r="C54" s="15" t="s">
        <v>353</v>
      </c>
    </row>
    <row r="55" ht="45.0" customHeight="1">
      <c r="A55" s="8">
        <v>54.0</v>
      </c>
      <c r="B55" s="8" t="s">
        <v>99</v>
      </c>
      <c r="C55" s="15" t="s">
        <v>353</v>
      </c>
    </row>
    <row r="56" ht="45.0" customHeight="1">
      <c r="A56" s="8">
        <v>55.0</v>
      </c>
      <c r="B56" s="8" t="s">
        <v>100</v>
      </c>
      <c r="C56" s="15" t="s">
        <v>353</v>
      </c>
    </row>
    <row r="57" ht="45.0" customHeight="1">
      <c r="A57" s="8">
        <v>56.0</v>
      </c>
      <c r="B57" s="8" t="s">
        <v>102</v>
      </c>
      <c r="C57" s="15" t="s">
        <v>353</v>
      </c>
    </row>
    <row r="58" ht="45.0" customHeight="1">
      <c r="A58" s="8">
        <v>57.0</v>
      </c>
      <c r="B58" s="8" t="s">
        <v>103</v>
      </c>
      <c r="C58" s="15" t="s">
        <v>353</v>
      </c>
    </row>
    <row r="59" ht="45.0" customHeight="1">
      <c r="A59" s="8">
        <v>58.0</v>
      </c>
      <c r="B59" s="8" t="s">
        <v>104</v>
      </c>
      <c r="C59" s="15" t="s">
        <v>353</v>
      </c>
    </row>
    <row r="60" ht="45.0" customHeight="1">
      <c r="A60" s="8">
        <v>59.0</v>
      </c>
      <c r="B60" s="8" t="s">
        <v>105</v>
      </c>
      <c r="C60" s="15" t="s">
        <v>353</v>
      </c>
    </row>
    <row r="61" ht="45.0" customHeight="1">
      <c r="A61" s="8">
        <v>60.0</v>
      </c>
      <c r="B61" s="8" t="s">
        <v>106</v>
      </c>
      <c r="C61" s="15" t="s">
        <v>353</v>
      </c>
    </row>
    <row r="62" ht="45.0" customHeight="1">
      <c r="A62" s="8">
        <v>61.0</v>
      </c>
      <c r="B62" s="8" t="s">
        <v>107</v>
      </c>
      <c r="C62" s="15" t="s">
        <v>353</v>
      </c>
    </row>
    <row r="63" ht="45.0" customHeight="1">
      <c r="A63" s="8">
        <v>62.0</v>
      </c>
      <c r="B63" s="8" t="s">
        <v>108</v>
      </c>
      <c r="C63" s="15" t="s">
        <v>353</v>
      </c>
    </row>
    <row r="64" ht="45.0" customHeight="1">
      <c r="A64" s="8">
        <v>63.0</v>
      </c>
      <c r="B64" s="8" t="s">
        <v>109</v>
      </c>
      <c r="C64" s="15" t="s">
        <v>353</v>
      </c>
    </row>
    <row r="65" ht="45.0" customHeight="1">
      <c r="A65" s="8">
        <v>64.0</v>
      </c>
      <c r="B65" s="8" t="s">
        <v>110</v>
      </c>
      <c r="C65" s="15" t="s">
        <v>353</v>
      </c>
    </row>
    <row r="66" ht="45.0" customHeight="1">
      <c r="A66" s="8">
        <v>65.0</v>
      </c>
      <c r="B66" s="8" t="s">
        <v>111</v>
      </c>
      <c r="C66" s="15" t="s">
        <v>353</v>
      </c>
    </row>
    <row r="67" ht="45.0" customHeight="1">
      <c r="A67" s="8">
        <v>66.0</v>
      </c>
      <c r="B67" s="8" t="s">
        <v>112</v>
      </c>
      <c r="C67" s="15" t="s">
        <v>353</v>
      </c>
    </row>
    <row r="68" ht="45.0" customHeight="1">
      <c r="A68" s="8">
        <v>67.0</v>
      </c>
      <c r="B68" s="8" t="s">
        <v>113</v>
      </c>
      <c r="C68" s="15" t="s">
        <v>353</v>
      </c>
    </row>
    <row r="69" ht="45.0" customHeight="1">
      <c r="A69" s="8">
        <v>68.0</v>
      </c>
      <c r="B69" s="8" t="s">
        <v>114</v>
      </c>
      <c r="C69" s="15" t="s">
        <v>353</v>
      </c>
    </row>
    <row r="70" ht="45.0" customHeight="1">
      <c r="A70" s="8">
        <v>69.0</v>
      </c>
      <c r="B70" s="8" t="s">
        <v>115</v>
      </c>
      <c r="C70" s="15" t="s">
        <v>353</v>
      </c>
    </row>
    <row r="71" ht="45.0" customHeight="1">
      <c r="A71" s="8">
        <v>70.0</v>
      </c>
      <c r="B71" s="8" t="s">
        <v>116</v>
      </c>
      <c r="C71" s="15" t="s">
        <v>353</v>
      </c>
    </row>
    <row r="72" ht="45.0" customHeight="1">
      <c r="A72" s="8">
        <v>71.0</v>
      </c>
      <c r="B72" s="8" t="s">
        <v>117</v>
      </c>
      <c r="C72" s="15" t="s">
        <v>353</v>
      </c>
    </row>
    <row r="73" ht="45.0" customHeight="1">
      <c r="A73" s="8">
        <v>72.0</v>
      </c>
      <c r="B73" s="8" t="s">
        <v>118</v>
      </c>
      <c r="C73" s="15" t="s">
        <v>353</v>
      </c>
    </row>
    <row r="74" ht="45.0" customHeight="1">
      <c r="A74" s="8">
        <v>73.0</v>
      </c>
      <c r="B74" s="8" t="s">
        <v>119</v>
      </c>
      <c r="C74" s="15" t="s">
        <v>353</v>
      </c>
    </row>
    <row r="75" ht="45.0" customHeight="1">
      <c r="A75" s="8">
        <v>74.0</v>
      </c>
      <c r="B75" s="8" t="s">
        <v>120</v>
      </c>
      <c r="C75" s="15" t="s">
        <v>353</v>
      </c>
    </row>
    <row r="76" ht="45.0" customHeight="1">
      <c r="A76" s="8">
        <v>75.0</v>
      </c>
      <c r="B76" s="8" t="s">
        <v>121</v>
      </c>
      <c r="C76" s="15" t="s">
        <v>353</v>
      </c>
    </row>
    <row r="77" ht="45.0" customHeight="1">
      <c r="A77" s="8">
        <v>76.0</v>
      </c>
      <c r="B77" s="8" t="s">
        <v>123</v>
      </c>
      <c r="C77" s="15" t="s">
        <v>353</v>
      </c>
    </row>
    <row r="78" ht="45.0" customHeight="1">
      <c r="A78" s="8">
        <v>77.0</v>
      </c>
      <c r="B78" s="8" t="s">
        <v>124</v>
      </c>
      <c r="C78" s="15" t="s">
        <v>353</v>
      </c>
    </row>
    <row r="79" ht="45.0" customHeight="1">
      <c r="A79" s="8">
        <v>78.0</v>
      </c>
      <c r="B79" s="8" t="s">
        <v>125</v>
      </c>
      <c r="C79" s="15" t="s">
        <v>353</v>
      </c>
    </row>
    <row r="80" ht="45.0" customHeight="1">
      <c r="A80" s="8">
        <v>79.0</v>
      </c>
      <c r="B80" s="8" t="s">
        <v>126</v>
      </c>
      <c r="C80" s="15" t="s">
        <v>353</v>
      </c>
    </row>
    <row r="81" ht="45.0" customHeight="1">
      <c r="A81" s="8">
        <v>80.0</v>
      </c>
      <c r="B81" s="8" t="s">
        <v>127</v>
      </c>
      <c r="C81" s="15" t="s">
        <v>353</v>
      </c>
    </row>
    <row r="82" ht="45.0" customHeight="1">
      <c r="A82" s="8">
        <v>81.0</v>
      </c>
      <c r="B82" s="8" t="s">
        <v>128</v>
      </c>
      <c r="C82" s="15" t="s">
        <v>353</v>
      </c>
    </row>
    <row r="83" ht="45.0" customHeight="1">
      <c r="A83" s="8">
        <v>82.0</v>
      </c>
      <c r="B83" s="8" t="s">
        <v>129</v>
      </c>
      <c r="C83" s="15" t="s">
        <v>353</v>
      </c>
    </row>
    <row r="84" ht="45.0" customHeight="1">
      <c r="A84" s="8">
        <v>83.0</v>
      </c>
      <c r="B84" s="8" t="s">
        <v>130</v>
      </c>
      <c r="C84" s="15" t="s">
        <v>353</v>
      </c>
    </row>
    <row r="85" ht="45.0" customHeight="1">
      <c r="A85" s="8">
        <v>84.0</v>
      </c>
      <c r="B85" s="8" t="s">
        <v>131</v>
      </c>
      <c r="C85" s="15" t="s">
        <v>353</v>
      </c>
    </row>
    <row r="86" ht="45.0" customHeight="1">
      <c r="A86" s="8">
        <v>85.0</v>
      </c>
      <c r="B86" s="8" t="s">
        <v>132</v>
      </c>
      <c r="C86" s="15" t="s">
        <v>353</v>
      </c>
    </row>
    <row r="87" ht="45.0" customHeight="1">
      <c r="A87" s="8">
        <v>86.0</v>
      </c>
      <c r="B87" s="8" t="s">
        <v>133</v>
      </c>
      <c r="C87" s="15" t="s">
        <v>353</v>
      </c>
    </row>
    <row r="88" ht="45.0" customHeight="1">
      <c r="A88" s="8">
        <v>87.0</v>
      </c>
      <c r="B88" s="8" t="s">
        <v>134</v>
      </c>
      <c r="C88" s="15" t="s">
        <v>353</v>
      </c>
    </row>
    <row r="89" ht="45.0" customHeight="1">
      <c r="A89" s="8">
        <v>88.0</v>
      </c>
      <c r="B89" s="8" t="s">
        <v>135</v>
      </c>
      <c r="C89" s="15" t="s">
        <v>353</v>
      </c>
    </row>
    <row r="90" ht="45.0" customHeight="1">
      <c r="A90" s="8">
        <v>89.0</v>
      </c>
      <c r="B90" s="8" t="s">
        <v>136</v>
      </c>
      <c r="C90" s="15" t="s">
        <v>353</v>
      </c>
    </row>
    <row r="91" ht="45.0" customHeight="1">
      <c r="A91" s="8">
        <v>90.0</v>
      </c>
      <c r="B91" s="8" t="s">
        <v>137</v>
      </c>
      <c r="C91" s="15" t="s">
        <v>353</v>
      </c>
    </row>
    <row r="92" ht="45.0" customHeight="1">
      <c r="A92" s="8">
        <v>91.0</v>
      </c>
      <c r="B92" s="8" t="s">
        <v>138</v>
      </c>
      <c r="C92" s="15" t="s">
        <v>353</v>
      </c>
    </row>
    <row r="93" ht="45.0" customHeight="1">
      <c r="A93" s="8">
        <v>92.0</v>
      </c>
      <c r="B93" s="8" t="s">
        <v>139</v>
      </c>
      <c r="C93" s="15" t="s">
        <v>353</v>
      </c>
    </row>
    <row r="94" ht="45.0" customHeight="1">
      <c r="A94" s="8">
        <v>93.0</v>
      </c>
      <c r="B94" s="8" t="s">
        <v>140</v>
      </c>
      <c r="C94" s="15" t="s">
        <v>353</v>
      </c>
    </row>
    <row r="95" ht="45.0" customHeight="1">
      <c r="A95" s="8">
        <v>94.0</v>
      </c>
      <c r="B95" s="8" t="s">
        <v>141</v>
      </c>
      <c r="C95" s="15" t="s">
        <v>353</v>
      </c>
    </row>
    <row r="96" ht="45.0" customHeight="1">
      <c r="A96" s="8">
        <v>95.0</v>
      </c>
      <c r="B96" s="8" t="s">
        <v>142</v>
      </c>
      <c r="C96" s="15" t="s">
        <v>353</v>
      </c>
    </row>
    <row r="97" ht="45.0" customHeight="1">
      <c r="A97" s="8">
        <v>96.0</v>
      </c>
      <c r="B97" s="8" t="s">
        <v>145</v>
      </c>
      <c r="C97" s="15" t="s">
        <v>353</v>
      </c>
    </row>
    <row r="98" ht="45.0" customHeight="1">
      <c r="A98" s="8">
        <v>97.0</v>
      </c>
      <c r="B98" s="8" t="s">
        <v>146</v>
      </c>
      <c r="C98" s="15" t="s">
        <v>353</v>
      </c>
    </row>
    <row r="99" ht="45.0" customHeight="1">
      <c r="A99" s="8">
        <v>98.0</v>
      </c>
      <c r="B99" s="8" t="s">
        <v>147</v>
      </c>
      <c r="C99" s="15" t="s">
        <v>353</v>
      </c>
    </row>
    <row r="100" ht="45.0" customHeight="1">
      <c r="A100" s="8">
        <v>99.0</v>
      </c>
      <c r="B100" s="8" t="s">
        <v>148</v>
      </c>
      <c r="C100" s="15" t="s">
        <v>353</v>
      </c>
    </row>
    <row r="101" ht="45.0" customHeight="1">
      <c r="A101" s="8">
        <v>100.0</v>
      </c>
      <c r="B101" s="8" t="s">
        <v>149</v>
      </c>
      <c r="C101" s="15" t="s">
        <v>353</v>
      </c>
    </row>
    <row r="102" ht="45.0" customHeight="1">
      <c r="A102" s="8">
        <v>101.0</v>
      </c>
      <c r="B102" s="8" t="s">
        <v>150</v>
      </c>
      <c r="C102" s="15" t="s">
        <v>353</v>
      </c>
    </row>
    <row r="103" ht="45.0" customHeight="1">
      <c r="A103" s="8">
        <v>102.0</v>
      </c>
      <c r="B103" s="8" t="s">
        <v>151</v>
      </c>
      <c r="C103" s="15" t="s">
        <v>353</v>
      </c>
    </row>
    <row r="104" ht="45.0" customHeight="1">
      <c r="A104" s="8">
        <v>103.0</v>
      </c>
      <c r="B104" s="8" t="s">
        <v>152</v>
      </c>
      <c r="C104" s="15" t="s">
        <v>353</v>
      </c>
    </row>
    <row r="105" ht="45.0" customHeight="1">
      <c r="A105" s="8">
        <v>104.0</v>
      </c>
      <c r="B105" s="8" t="s">
        <v>153</v>
      </c>
      <c r="C105" s="15" t="s">
        <v>353</v>
      </c>
    </row>
    <row r="106" ht="45.0" customHeight="1">
      <c r="A106" s="8">
        <v>105.0</v>
      </c>
      <c r="B106" s="8" t="s">
        <v>154</v>
      </c>
      <c r="C106" s="15" t="s">
        <v>353</v>
      </c>
    </row>
    <row r="107" ht="45.0" customHeight="1">
      <c r="A107" s="8">
        <v>106.0</v>
      </c>
      <c r="B107" s="8" t="s">
        <v>155</v>
      </c>
      <c r="C107" s="15" t="s">
        <v>353</v>
      </c>
    </row>
    <row r="108" ht="45.0" customHeight="1">
      <c r="A108" s="8">
        <v>107.0</v>
      </c>
      <c r="B108" s="8" t="s">
        <v>156</v>
      </c>
      <c r="C108" s="15" t="s">
        <v>353</v>
      </c>
    </row>
    <row r="109" ht="45.0" customHeight="1">
      <c r="A109" s="8">
        <v>108.0</v>
      </c>
      <c r="B109" s="8" t="s">
        <v>157</v>
      </c>
      <c r="C109" s="15" t="s">
        <v>353</v>
      </c>
    </row>
    <row r="110" ht="45.0" customHeight="1">
      <c r="A110" s="8">
        <v>109.0</v>
      </c>
      <c r="B110" s="8" t="s">
        <v>158</v>
      </c>
      <c r="C110" s="15" t="s">
        <v>353</v>
      </c>
    </row>
    <row r="111" ht="45.0" customHeight="1">
      <c r="A111" s="8">
        <v>110.0</v>
      </c>
      <c r="B111" s="8" t="s">
        <v>159</v>
      </c>
      <c r="C111" s="15" t="s">
        <v>353</v>
      </c>
    </row>
    <row r="112" ht="45.0" customHeight="1">
      <c r="A112" s="8">
        <v>111.0</v>
      </c>
      <c r="B112" s="8" t="s">
        <v>160</v>
      </c>
      <c r="C112" s="15" t="s">
        <v>353</v>
      </c>
    </row>
    <row r="113" ht="45.0" customHeight="1">
      <c r="A113" s="8">
        <v>112.0</v>
      </c>
      <c r="B113" s="8" t="s">
        <v>161</v>
      </c>
      <c r="C113" s="15" t="s">
        <v>353</v>
      </c>
    </row>
    <row r="114" ht="45.0" customHeight="1">
      <c r="A114" s="8">
        <v>113.0</v>
      </c>
      <c r="B114" s="8" t="s">
        <v>162</v>
      </c>
      <c r="C114" s="15" t="s">
        <v>353</v>
      </c>
    </row>
    <row r="115" ht="45.0" customHeight="1">
      <c r="A115" s="8">
        <v>114.0</v>
      </c>
      <c r="B115" s="8" t="s">
        <v>163</v>
      </c>
      <c r="C115" s="15" t="s">
        <v>353</v>
      </c>
    </row>
    <row r="116" ht="45.0" customHeight="1">
      <c r="A116" s="8">
        <v>115.0</v>
      </c>
      <c r="B116" s="8" t="s">
        <v>164</v>
      </c>
      <c r="C116" s="15" t="s">
        <v>353</v>
      </c>
    </row>
    <row r="117" ht="45.0" customHeight="1">
      <c r="A117" s="8">
        <v>116.0</v>
      </c>
      <c r="B117" s="8" t="s">
        <v>165</v>
      </c>
      <c r="C117" s="15" t="s">
        <v>353</v>
      </c>
    </row>
    <row r="118" ht="45.0" customHeight="1">
      <c r="A118" s="8">
        <v>117.0</v>
      </c>
      <c r="B118" s="8" t="s">
        <v>166</v>
      </c>
      <c r="C118" s="15" t="s">
        <v>353</v>
      </c>
    </row>
    <row r="119" ht="45.0" customHeight="1">
      <c r="A119" s="8">
        <v>118.0</v>
      </c>
      <c r="B119" s="8" t="s">
        <v>167</v>
      </c>
      <c r="C119" s="15" t="s">
        <v>353</v>
      </c>
    </row>
    <row r="120" ht="45.0" customHeight="1">
      <c r="A120" s="8">
        <v>119.0</v>
      </c>
      <c r="B120" s="8" t="s">
        <v>168</v>
      </c>
      <c r="C120" s="15" t="s">
        <v>353</v>
      </c>
    </row>
    <row r="121" ht="45.0" customHeight="1">
      <c r="A121" s="8">
        <v>120.0</v>
      </c>
      <c r="B121" s="8" t="s">
        <v>169</v>
      </c>
      <c r="C121" s="15" t="s">
        <v>353</v>
      </c>
    </row>
    <row r="122" ht="45.0" customHeight="1">
      <c r="A122" s="8">
        <v>121.0</v>
      </c>
      <c r="B122" s="8" t="s">
        <v>170</v>
      </c>
      <c r="C122" s="15" t="s">
        <v>353</v>
      </c>
    </row>
    <row r="123" ht="45.0" customHeight="1">
      <c r="A123" s="8">
        <v>122.0</v>
      </c>
      <c r="B123" s="8" t="s">
        <v>171</v>
      </c>
      <c r="C123" s="15" t="s">
        <v>353</v>
      </c>
    </row>
    <row r="124" ht="45.0" customHeight="1">
      <c r="A124" s="8">
        <v>123.0</v>
      </c>
      <c r="B124" s="8" t="s">
        <v>172</v>
      </c>
      <c r="C124" s="15" t="s">
        <v>353</v>
      </c>
    </row>
    <row r="125" ht="45.0" customHeight="1">
      <c r="A125" s="8">
        <v>124.0</v>
      </c>
      <c r="B125" s="8" t="s">
        <v>173</v>
      </c>
      <c r="C125" s="15" t="s">
        <v>353</v>
      </c>
    </row>
    <row r="126" ht="45.0" customHeight="1">
      <c r="A126" s="8">
        <v>125.0</v>
      </c>
      <c r="B126" s="8" t="s">
        <v>174</v>
      </c>
      <c r="C126" s="15" t="s">
        <v>353</v>
      </c>
    </row>
    <row r="127" ht="45.0" customHeight="1">
      <c r="A127" s="8">
        <v>126.0</v>
      </c>
      <c r="B127" s="8" t="s">
        <v>175</v>
      </c>
      <c r="C127" s="15" t="s">
        <v>353</v>
      </c>
    </row>
    <row r="128" ht="45.0" customHeight="1">
      <c r="A128" s="8">
        <v>127.0</v>
      </c>
      <c r="B128" s="8" t="s">
        <v>176</v>
      </c>
      <c r="C128" s="15" t="s">
        <v>353</v>
      </c>
    </row>
    <row r="129" ht="45.0" customHeight="1">
      <c r="A129" s="8">
        <v>128.0</v>
      </c>
      <c r="B129" s="8" t="s">
        <v>177</v>
      </c>
      <c r="C129" s="15" t="s">
        <v>353</v>
      </c>
    </row>
    <row r="130" ht="45.0" customHeight="1">
      <c r="A130" s="8">
        <v>129.0</v>
      </c>
      <c r="B130" s="8" t="s">
        <v>178</v>
      </c>
      <c r="C130" s="15" t="s">
        <v>353</v>
      </c>
    </row>
    <row r="131" ht="45.0" customHeight="1">
      <c r="A131" s="8">
        <v>130.0</v>
      </c>
      <c r="B131" s="8" t="s">
        <v>179</v>
      </c>
      <c r="C131" s="15" t="s">
        <v>353</v>
      </c>
    </row>
    <row r="132" ht="45.0" customHeight="1">
      <c r="A132" s="8">
        <v>131.0</v>
      </c>
      <c r="B132" s="8" t="s">
        <v>180</v>
      </c>
      <c r="C132" s="15" t="s">
        <v>353</v>
      </c>
    </row>
    <row r="133" ht="45.0" customHeight="1">
      <c r="A133" s="8">
        <v>132.0</v>
      </c>
      <c r="B133" s="8" t="s">
        <v>181</v>
      </c>
      <c r="C133" s="15" t="s">
        <v>353</v>
      </c>
    </row>
    <row r="134" ht="45.0" customHeight="1">
      <c r="A134" s="8">
        <v>133.0</v>
      </c>
      <c r="B134" s="8" t="s">
        <v>182</v>
      </c>
      <c r="C134" s="15" t="s">
        <v>353</v>
      </c>
    </row>
    <row r="135" ht="45.0" customHeight="1">
      <c r="A135" s="8">
        <v>134.0</v>
      </c>
      <c r="B135" s="8" t="s">
        <v>183</v>
      </c>
      <c r="C135" s="15" t="s">
        <v>353</v>
      </c>
    </row>
    <row r="136" ht="45.0" customHeight="1">
      <c r="A136" s="8">
        <v>135.0</v>
      </c>
      <c r="B136" s="8" t="s">
        <v>184</v>
      </c>
      <c r="C136" s="15" t="s">
        <v>353</v>
      </c>
    </row>
    <row r="137" ht="45.0" customHeight="1">
      <c r="A137" s="8">
        <v>136.0</v>
      </c>
      <c r="B137" s="8" t="s">
        <v>187</v>
      </c>
      <c r="C137" s="15" t="s">
        <v>353</v>
      </c>
    </row>
    <row r="138" ht="45.0" customHeight="1">
      <c r="A138" s="8">
        <v>137.0</v>
      </c>
      <c r="B138" s="8" t="s">
        <v>188</v>
      </c>
      <c r="C138" s="15" t="s">
        <v>353</v>
      </c>
    </row>
    <row r="139" ht="45.0" customHeight="1">
      <c r="A139" s="8">
        <v>138.0</v>
      </c>
      <c r="B139" s="8" t="s">
        <v>189</v>
      </c>
      <c r="C139" s="15" t="s">
        <v>353</v>
      </c>
    </row>
    <row r="140" ht="45.0" customHeight="1">
      <c r="A140" s="8">
        <v>139.0</v>
      </c>
      <c r="B140" s="8" t="s">
        <v>190</v>
      </c>
      <c r="C140" s="15" t="s">
        <v>353</v>
      </c>
    </row>
    <row r="141" ht="45.0" customHeight="1">
      <c r="A141" s="8">
        <v>140.0</v>
      </c>
      <c r="B141" s="8" t="s">
        <v>191</v>
      </c>
      <c r="C141" s="15" t="s">
        <v>353</v>
      </c>
    </row>
    <row r="142" ht="45.0" customHeight="1">
      <c r="A142" s="8">
        <v>141.0</v>
      </c>
      <c r="B142" s="8" t="s">
        <v>192</v>
      </c>
      <c r="C142" s="15" t="s">
        <v>353</v>
      </c>
    </row>
    <row r="143" ht="45.0" customHeight="1">
      <c r="A143" s="8">
        <v>142.0</v>
      </c>
      <c r="B143" s="8" t="s">
        <v>193</v>
      </c>
      <c r="C143" s="15" t="s">
        <v>353</v>
      </c>
    </row>
    <row r="144" ht="45.0" customHeight="1">
      <c r="A144" s="8">
        <v>143.0</v>
      </c>
      <c r="B144" s="8" t="s">
        <v>194</v>
      </c>
      <c r="C144" s="15" t="s">
        <v>353</v>
      </c>
    </row>
    <row r="145" ht="45.0" customHeight="1">
      <c r="A145" s="8">
        <v>144.0</v>
      </c>
      <c r="B145" s="8" t="s">
        <v>195</v>
      </c>
      <c r="C145" s="15" t="s">
        <v>353</v>
      </c>
    </row>
    <row r="146" ht="45.0" customHeight="1">
      <c r="A146" s="8">
        <v>145.0</v>
      </c>
      <c r="B146" s="8" t="s">
        <v>196</v>
      </c>
      <c r="C146" s="15" t="s">
        <v>353</v>
      </c>
    </row>
    <row r="147" ht="45.0" customHeight="1">
      <c r="A147" s="8">
        <v>146.0</v>
      </c>
      <c r="B147" s="8" t="s">
        <v>197</v>
      </c>
      <c r="C147" s="15" t="s">
        <v>353</v>
      </c>
    </row>
    <row r="148" ht="45.0" customHeight="1">
      <c r="A148" s="8">
        <v>147.0</v>
      </c>
      <c r="B148" s="8" t="s">
        <v>198</v>
      </c>
      <c r="C148" s="15" t="s">
        <v>353</v>
      </c>
    </row>
    <row r="149" ht="45.0" customHeight="1">
      <c r="A149" s="8">
        <v>148.0</v>
      </c>
      <c r="B149" s="8" t="s">
        <v>199</v>
      </c>
      <c r="C149" s="15" t="s">
        <v>353</v>
      </c>
    </row>
    <row r="150" ht="45.0" customHeight="1">
      <c r="A150" s="8">
        <v>149.0</v>
      </c>
      <c r="B150" s="8" t="s">
        <v>200</v>
      </c>
      <c r="C150" s="15" t="s">
        <v>353</v>
      </c>
    </row>
    <row r="151" ht="45.0" customHeight="1">
      <c r="A151" s="8">
        <v>150.0</v>
      </c>
      <c r="B151" s="8" t="s">
        <v>201</v>
      </c>
      <c r="C151" s="15" t="s">
        <v>353</v>
      </c>
    </row>
    <row r="152" ht="45.0" customHeight="1">
      <c r="A152" s="8">
        <v>151.0</v>
      </c>
      <c r="B152" s="8" t="s">
        <v>204</v>
      </c>
      <c r="C152" s="15" t="s">
        <v>353</v>
      </c>
    </row>
    <row r="153" ht="45.0" customHeight="1">
      <c r="A153" s="8">
        <v>152.0</v>
      </c>
      <c r="B153" s="8" t="s">
        <v>205</v>
      </c>
      <c r="C153" s="15" t="s">
        <v>353</v>
      </c>
    </row>
    <row r="154" ht="45.0" customHeight="1">
      <c r="A154" s="8">
        <v>153.0</v>
      </c>
      <c r="B154" s="8" t="s">
        <v>206</v>
      </c>
      <c r="C154" s="15" t="s">
        <v>353</v>
      </c>
    </row>
    <row r="155" ht="45.0" customHeight="1">
      <c r="A155" s="8">
        <v>154.0</v>
      </c>
      <c r="B155" s="8" t="s">
        <v>207</v>
      </c>
      <c r="C155" s="15" t="s">
        <v>353</v>
      </c>
    </row>
    <row r="156" ht="45.0" customHeight="1">
      <c r="A156" s="8">
        <v>155.0</v>
      </c>
      <c r="B156" s="8" t="s">
        <v>208</v>
      </c>
      <c r="C156" s="15" t="s">
        <v>353</v>
      </c>
    </row>
    <row r="157" ht="45.0" customHeight="1">
      <c r="A157" s="8">
        <v>156.0</v>
      </c>
      <c r="B157" s="8" t="s">
        <v>209</v>
      </c>
      <c r="C157" s="15" t="s">
        <v>353</v>
      </c>
    </row>
    <row r="158" ht="45.0" customHeight="1">
      <c r="A158" s="8">
        <v>157.0</v>
      </c>
      <c r="B158" s="8" t="s">
        <v>210</v>
      </c>
      <c r="C158" s="15" t="s">
        <v>353</v>
      </c>
    </row>
    <row r="159" ht="45.0" customHeight="1">
      <c r="A159" s="8">
        <v>158.0</v>
      </c>
      <c r="B159" s="8" t="s">
        <v>211</v>
      </c>
      <c r="C159" s="15" t="s">
        <v>353</v>
      </c>
    </row>
    <row r="160" ht="45.0" customHeight="1">
      <c r="A160" s="8">
        <v>159.0</v>
      </c>
      <c r="B160" s="8" t="s">
        <v>212</v>
      </c>
      <c r="C160" s="15" t="s">
        <v>353</v>
      </c>
    </row>
    <row r="161" ht="45.0" customHeight="1">
      <c r="A161" s="8">
        <v>160.0</v>
      </c>
      <c r="B161" s="8" t="s">
        <v>213</v>
      </c>
      <c r="C161" s="15" t="s">
        <v>353</v>
      </c>
    </row>
    <row r="162" ht="45.0" customHeight="1">
      <c r="A162" s="8">
        <v>161.0</v>
      </c>
      <c r="B162" s="8" t="s">
        <v>214</v>
      </c>
      <c r="C162" s="15" t="s">
        <v>353</v>
      </c>
    </row>
    <row r="163" ht="45.0" customHeight="1">
      <c r="A163" s="8">
        <v>162.0</v>
      </c>
      <c r="B163" s="8" t="s">
        <v>215</v>
      </c>
      <c r="C163" s="15" t="s">
        <v>353</v>
      </c>
    </row>
    <row r="164" ht="45.0" customHeight="1">
      <c r="A164" s="8">
        <v>163.0</v>
      </c>
      <c r="B164" s="8" t="s">
        <v>216</v>
      </c>
      <c r="C164" s="15" t="s">
        <v>353</v>
      </c>
    </row>
    <row r="165" ht="45.0" customHeight="1">
      <c r="A165" s="8">
        <v>164.0</v>
      </c>
      <c r="B165" s="8" t="s">
        <v>217</v>
      </c>
      <c r="C165" s="15" t="s">
        <v>353</v>
      </c>
    </row>
    <row r="166" ht="45.0" customHeight="1">
      <c r="A166" s="8">
        <v>165.0</v>
      </c>
      <c r="B166" s="8" t="s">
        <v>218</v>
      </c>
      <c r="C166" s="15" t="s">
        <v>353</v>
      </c>
    </row>
    <row r="167" ht="45.0" customHeight="1">
      <c r="A167" s="8">
        <v>166.0</v>
      </c>
      <c r="B167" s="8" t="s">
        <v>220</v>
      </c>
      <c r="C167" s="15" t="s">
        <v>353</v>
      </c>
    </row>
    <row r="168" ht="45.0" customHeight="1">
      <c r="A168" s="8">
        <v>167.0</v>
      </c>
      <c r="B168" s="8" t="s">
        <v>221</v>
      </c>
      <c r="C168" s="15" t="s">
        <v>353</v>
      </c>
    </row>
    <row r="169" ht="45.0" customHeight="1">
      <c r="A169" s="8">
        <v>168.0</v>
      </c>
      <c r="B169" s="8" t="s">
        <v>222</v>
      </c>
      <c r="C169" s="15" t="s">
        <v>353</v>
      </c>
    </row>
    <row r="170" ht="45.0" customHeight="1">
      <c r="A170" s="8">
        <v>169.0</v>
      </c>
      <c r="B170" s="8" t="s">
        <v>223</v>
      </c>
      <c r="C170" s="15" t="s">
        <v>353</v>
      </c>
    </row>
    <row r="171" ht="45.0" customHeight="1">
      <c r="A171" s="8">
        <v>170.0</v>
      </c>
      <c r="B171" s="8" t="s">
        <v>224</v>
      </c>
      <c r="C171" s="15" t="s">
        <v>353</v>
      </c>
    </row>
    <row r="172" ht="45.0" customHeight="1">
      <c r="A172" s="8">
        <v>171.0</v>
      </c>
      <c r="B172" s="8" t="s">
        <v>225</v>
      </c>
      <c r="C172" s="15" t="s">
        <v>353</v>
      </c>
    </row>
    <row r="173" ht="45.0" customHeight="1">
      <c r="A173" s="8">
        <v>172.0</v>
      </c>
      <c r="B173" s="8" t="s">
        <v>226</v>
      </c>
      <c r="C173" s="15" t="s">
        <v>353</v>
      </c>
    </row>
    <row r="174" ht="45.0" customHeight="1">
      <c r="A174" s="8">
        <v>173.0</v>
      </c>
      <c r="B174" s="8" t="s">
        <v>227</v>
      </c>
      <c r="C174" s="15" t="s">
        <v>353</v>
      </c>
    </row>
    <row r="175" ht="45.0" customHeight="1">
      <c r="A175" s="8">
        <v>174.0</v>
      </c>
      <c r="B175" s="8" t="s">
        <v>228</v>
      </c>
      <c r="C175" s="15" t="s">
        <v>353</v>
      </c>
    </row>
    <row r="176" ht="45.0" customHeight="1">
      <c r="A176" s="8">
        <v>175.0</v>
      </c>
      <c r="B176" s="8" t="s">
        <v>229</v>
      </c>
      <c r="C176" s="15" t="s">
        <v>353</v>
      </c>
    </row>
    <row r="177" ht="45.0" customHeight="1">
      <c r="A177" s="8">
        <v>176.0</v>
      </c>
      <c r="B177" s="8" t="s">
        <v>230</v>
      </c>
      <c r="C177" s="15" t="s">
        <v>353</v>
      </c>
    </row>
    <row r="178" ht="45.0" customHeight="1">
      <c r="A178" s="8">
        <v>177.0</v>
      </c>
      <c r="B178" s="8" t="s">
        <v>231</v>
      </c>
      <c r="C178" s="15" t="s">
        <v>353</v>
      </c>
    </row>
    <row r="179" ht="45.0" customHeight="1">
      <c r="A179" s="8">
        <v>178.0</v>
      </c>
      <c r="B179" s="8" t="s">
        <v>232</v>
      </c>
      <c r="C179" s="15" t="s">
        <v>353</v>
      </c>
    </row>
    <row r="180" ht="45.0" customHeight="1">
      <c r="A180" s="8">
        <v>179.0</v>
      </c>
      <c r="B180" s="8" t="s">
        <v>233</v>
      </c>
      <c r="C180" s="15" t="s">
        <v>353</v>
      </c>
    </row>
    <row r="181" ht="45.0" customHeight="1">
      <c r="A181" s="8">
        <v>180.0</v>
      </c>
      <c r="B181" s="8" t="s">
        <v>234</v>
      </c>
      <c r="C181" s="15" t="s">
        <v>353</v>
      </c>
    </row>
    <row r="182" ht="45.0" customHeight="1">
      <c r="A182" s="8">
        <v>181.0</v>
      </c>
      <c r="B182" s="8" t="s">
        <v>235</v>
      </c>
      <c r="C182" s="15" t="s">
        <v>353</v>
      </c>
    </row>
    <row r="183" ht="45.0" customHeight="1">
      <c r="A183" s="8">
        <v>182.0</v>
      </c>
      <c r="B183" s="8" t="s">
        <v>236</v>
      </c>
      <c r="C183" s="15" t="s">
        <v>353</v>
      </c>
    </row>
    <row r="184" ht="45.0" customHeight="1">
      <c r="A184" s="8">
        <v>183.0</v>
      </c>
      <c r="B184" s="8" t="s">
        <v>237</v>
      </c>
      <c r="C184" s="15" t="s">
        <v>353</v>
      </c>
    </row>
    <row r="185" ht="45.0" customHeight="1">
      <c r="A185" s="8">
        <v>184.0</v>
      </c>
      <c r="B185" s="8" t="s">
        <v>238</v>
      </c>
      <c r="C185" s="15" t="s">
        <v>353</v>
      </c>
    </row>
    <row r="186" ht="45.0" customHeight="1">
      <c r="A186" s="8">
        <v>185.0</v>
      </c>
      <c r="B186" s="8" t="s">
        <v>239</v>
      </c>
      <c r="C186" s="15" t="s">
        <v>353</v>
      </c>
    </row>
    <row r="187" ht="45.0" customHeight="1">
      <c r="A187" s="8">
        <v>186.0</v>
      </c>
      <c r="B187" s="8" t="s">
        <v>240</v>
      </c>
      <c r="C187" s="15" t="s">
        <v>353</v>
      </c>
    </row>
    <row r="188" ht="45.0" customHeight="1">
      <c r="A188" s="8">
        <v>187.0</v>
      </c>
      <c r="B188" s="8" t="s">
        <v>241</v>
      </c>
      <c r="C188" s="15" t="s">
        <v>353</v>
      </c>
    </row>
    <row r="189" ht="45.0" customHeight="1">
      <c r="A189" s="8">
        <v>188.0</v>
      </c>
      <c r="B189" s="8" t="s">
        <v>242</v>
      </c>
      <c r="C189" s="15" t="s">
        <v>353</v>
      </c>
    </row>
    <row r="190" ht="45.0" customHeight="1">
      <c r="A190" s="8">
        <v>189.0</v>
      </c>
      <c r="B190" s="8" t="s">
        <v>243</v>
      </c>
      <c r="C190" s="15" t="s">
        <v>353</v>
      </c>
    </row>
    <row r="191" ht="45.0" customHeight="1">
      <c r="A191" s="8">
        <v>190.0</v>
      </c>
      <c r="B191" s="8" t="s">
        <v>244</v>
      </c>
      <c r="C191" s="15" t="s">
        <v>353</v>
      </c>
    </row>
    <row r="192" ht="45.0" customHeight="1">
      <c r="A192" s="8">
        <v>191.0</v>
      </c>
      <c r="B192" s="8" t="s">
        <v>247</v>
      </c>
      <c r="C192" s="15" t="s">
        <v>353</v>
      </c>
    </row>
    <row r="193" ht="45.0" customHeight="1">
      <c r="A193" s="8">
        <v>192.0</v>
      </c>
      <c r="B193" s="8" t="s">
        <v>248</v>
      </c>
      <c r="C193" s="15" t="s">
        <v>353</v>
      </c>
    </row>
    <row r="194" ht="45.0" customHeight="1">
      <c r="A194" s="8">
        <v>193.0</v>
      </c>
      <c r="B194" s="8" t="s">
        <v>249</v>
      </c>
      <c r="C194" s="15" t="s">
        <v>353</v>
      </c>
    </row>
    <row r="195" ht="45.0" customHeight="1">
      <c r="A195" s="8">
        <v>194.0</v>
      </c>
      <c r="B195" s="8" t="s">
        <v>250</v>
      </c>
      <c r="C195" s="15" t="s">
        <v>353</v>
      </c>
    </row>
    <row r="196" ht="45.0" customHeight="1">
      <c r="A196" s="8">
        <v>195.0</v>
      </c>
      <c r="B196" s="8" t="s">
        <v>251</v>
      </c>
      <c r="C196" s="15" t="s">
        <v>353</v>
      </c>
    </row>
    <row r="197" ht="45.0" customHeight="1">
      <c r="A197" s="8">
        <v>196.0</v>
      </c>
      <c r="B197" s="8" t="s">
        <v>252</v>
      </c>
      <c r="C197" s="15" t="s">
        <v>353</v>
      </c>
    </row>
    <row r="198" ht="45.0" customHeight="1">
      <c r="A198" s="8">
        <v>197.0</v>
      </c>
      <c r="B198" s="8" t="s">
        <v>253</v>
      </c>
      <c r="C198" s="15" t="s">
        <v>353</v>
      </c>
    </row>
    <row r="199" ht="45.0" customHeight="1">
      <c r="A199" s="8">
        <v>198.0</v>
      </c>
      <c r="B199" s="8" t="s">
        <v>254</v>
      </c>
      <c r="C199" s="15" t="s">
        <v>353</v>
      </c>
    </row>
    <row r="200" ht="45.0" customHeight="1">
      <c r="A200" s="8">
        <v>199.0</v>
      </c>
      <c r="B200" s="8" t="s">
        <v>255</v>
      </c>
      <c r="C200" s="15" t="s">
        <v>353</v>
      </c>
    </row>
    <row r="201" ht="45.0" customHeight="1">
      <c r="A201" s="8">
        <v>200.0</v>
      </c>
      <c r="B201" s="8" t="s">
        <v>256</v>
      </c>
      <c r="C201" s="15" t="s">
        <v>353</v>
      </c>
    </row>
    <row r="202" ht="45.0" customHeight="1">
      <c r="A202" s="8">
        <v>201.0</v>
      </c>
      <c r="B202" s="8" t="s">
        <v>257</v>
      </c>
      <c r="C202" s="15" t="s">
        <v>353</v>
      </c>
    </row>
    <row r="203" ht="45.0" customHeight="1">
      <c r="A203" s="8">
        <v>202.0</v>
      </c>
      <c r="B203" s="8" t="s">
        <v>258</v>
      </c>
      <c r="C203" s="15" t="s">
        <v>353</v>
      </c>
    </row>
    <row r="204" ht="45.0" customHeight="1">
      <c r="A204" s="8">
        <v>203.0</v>
      </c>
      <c r="B204" s="8" t="s">
        <v>259</v>
      </c>
      <c r="C204" s="15" t="s">
        <v>353</v>
      </c>
    </row>
    <row r="205" ht="45.0" customHeight="1">
      <c r="A205" s="8">
        <v>204.0</v>
      </c>
      <c r="B205" s="8" t="s">
        <v>260</v>
      </c>
      <c r="C205" s="15" t="s">
        <v>353</v>
      </c>
    </row>
    <row r="206" ht="45.0" customHeight="1">
      <c r="A206" s="8">
        <v>205.0</v>
      </c>
      <c r="B206" s="8" t="s">
        <v>261</v>
      </c>
      <c r="C206" s="15" t="s">
        <v>353</v>
      </c>
    </row>
    <row r="207" ht="45.0" customHeight="1">
      <c r="A207" s="8">
        <v>206.0</v>
      </c>
      <c r="B207" s="8" t="s">
        <v>262</v>
      </c>
      <c r="C207" s="15" t="s">
        <v>353</v>
      </c>
    </row>
    <row r="208" ht="45.0" customHeight="1">
      <c r="A208" s="8">
        <v>207.0</v>
      </c>
      <c r="B208" s="8" t="s">
        <v>263</v>
      </c>
      <c r="C208" s="15" t="s">
        <v>353</v>
      </c>
    </row>
    <row r="209" ht="45.0" customHeight="1">
      <c r="A209" s="8">
        <v>208.0</v>
      </c>
      <c r="B209" s="8" t="s">
        <v>264</v>
      </c>
      <c r="C209" s="15" t="s">
        <v>353</v>
      </c>
    </row>
    <row r="210" ht="45.0" customHeight="1">
      <c r="A210" s="8">
        <v>209.0</v>
      </c>
      <c r="B210" s="8" t="s">
        <v>265</v>
      </c>
      <c r="C210" s="15" t="s">
        <v>353</v>
      </c>
    </row>
    <row r="211" ht="45.0" customHeight="1">
      <c r="A211" s="8">
        <v>210.0</v>
      </c>
      <c r="B211" s="8" t="s">
        <v>266</v>
      </c>
      <c r="C211" s="15" t="s">
        <v>353</v>
      </c>
    </row>
    <row r="212" ht="45.0" customHeight="1">
      <c r="A212" s="8">
        <v>211.0</v>
      </c>
      <c r="B212" s="8" t="s">
        <v>267</v>
      </c>
      <c r="C212" s="15" t="s">
        <v>353</v>
      </c>
    </row>
    <row r="213" ht="45.0" customHeight="1">
      <c r="A213" s="8">
        <v>212.0</v>
      </c>
      <c r="B213" s="8" t="s">
        <v>268</v>
      </c>
      <c r="C213" s="15" t="s">
        <v>353</v>
      </c>
    </row>
    <row r="214" ht="45.0" customHeight="1">
      <c r="A214" s="8">
        <v>213.0</v>
      </c>
      <c r="B214" s="8" t="s">
        <v>269</v>
      </c>
      <c r="C214" s="15" t="s">
        <v>353</v>
      </c>
    </row>
    <row r="215" ht="45.0" customHeight="1">
      <c r="A215" s="8">
        <v>214.0</v>
      </c>
      <c r="B215" s="8" t="s">
        <v>270</v>
      </c>
      <c r="C215" s="15" t="s">
        <v>353</v>
      </c>
    </row>
    <row r="216" ht="45.0" customHeight="1">
      <c r="A216" s="8">
        <v>215.0</v>
      </c>
      <c r="B216" s="8" t="s">
        <v>271</v>
      </c>
      <c r="C216" s="15" t="s">
        <v>353</v>
      </c>
    </row>
    <row r="217" ht="45.0" customHeight="1">
      <c r="A217" s="8">
        <v>216.0</v>
      </c>
      <c r="B217" s="8" t="s">
        <v>273</v>
      </c>
      <c r="C217" s="15" t="s">
        <v>353</v>
      </c>
    </row>
    <row r="218" ht="45.0" customHeight="1">
      <c r="A218" s="8">
        <v>217.0</v>
      </c>
      <c r="B218" s="8" t="s">
        <v>274</v>
      </c>
      <c r="C218" s="15" t="s">
        <v>353</v>
      </c>
    </row>
    <row r="219" ht="45.0" customHeight="1">
      <c r="A219" s="8">
        <v>218.0</v>
      </c>
      <c r="B219" s="8" t="s">
        <v>275</v>
      </c>
      <c r="C219" s="15" t="s">
        <v>353</v>
      </c>
    </row>
    <row r="220" ht="45.0" customHeight="1">
      <c r="A220" s="8">
        <v>219.0</v>
      </c>
      <c r="B220" s="8" t="s">
        <v>276</v>
      </c>
      <c r="C220" s="15" t="s">
        <v>353</v>
      </c>
    </row>
    <row r="221" ht="45.0" customHeight="1">
      <c r="A221" s="8">
        <v>220.0</v>
      </c>
      <c r="B221" s="8" t="s">
        <v>277</v>
      </c>
      <c r="C221" s="15" t="s">
        <v>353</v>
      </c>
    </row>
    <row r="222" ht="45.0" customHeight="1">
      <c r="A222" s="8">
        <v>221.0</v>
      </c>
      <c r="B222" s="8" t="s">
        <v>278</v>
      </c>
      <c r="C222" s="15" t="s">
        <v>353</v>
      </c>
    </row>
    <row r="223" ht="45.0" customHeight="1">
      <c r="A223" s="8">
        <v>222.0</v>
      </c>
      <c r="B223" s="8" t="s">
        <v>279</v>
      </c>
      <c r="C223" s="15" t="s">
        <v>353</v>
      </c>
    </row>
    <row r="224" ht="45.0" customHeight="1">
      <c r="A224" s="8">
        <v>223.0</v>
      </c>
      <c r="B224" s="8" t="s">
        <v>280</v>
      </c>
      <c r="C224" s="15" t="s">
        <v>353</v>
      </c>
    </row>
    <row r="225" ht="45.0" customHeight="1">
      <c r="A225" s="8">
        <v>224.0</v>
      </c>
      <c r="B225" s="8" t="s">
        <v>281</v>
      </c>
      <c r="C225" s="15" t="s">
        <v>353</v>
      </c>
    </row>
    <row r="226" ht="45.0" customHeight="1">
      <c r="A226" s="8">
        <v>225.0</v>
      </c>
      <c r="B226" s="8" t="s">
        <v>282</v>
      </c>
      <c r="C226" s="15" t="s">
        <v>353</v>
      </c>
    </row>
    <row r="227" ht="45.0" customHeight="1">
      <c r="A227" s="8">
        <v>226.0</v>
      </c>
      <c r="B227" s="8" t="s">
        <v>283</v>
      </c>
      <c r="C227" s="15" t="s">
        <v>353</v>
      </c>
    </row>
    <row r="228" ht="45.0" customHeight="1">
      <c r="A228" s="8">
        <v>227.0</v>
      </c>
      <c r="B228" s="8" t="s">
        <v>284</v>
      </c>
      <c r="C228" s="15" t="s">
        <v>353</v>
      </c>
    </row>
    <row r="229" ht="45.0" customHeight="1">
      <c r="A229" s="8">
        <v>228.0</v>
      </c>
      <c r="B229" s="8" t="s">
        <v>285</v>
      </c>
      <c r="C229" s="15" t="s">
        <v>353</v>
      </c>
    </row>
    <row r="230" ht="45.0" customHeight="1">
      <c r="A230" s="8">
        <v>229.0</v>
      </c>
      <c r="B230" s="8" t="s">
        <v>286</v>
      </c>
      <c r="C230" s="15" t="s">
        <v>353</v>
      </c>
    </row>
    <row r="231" ht="45.0" customHeight="1">
      <c r="A231" s="8">
        <v>230.0</v>
      </c>
      <c r="B231" s="8" t="s">
        <v>287</v>
      </c>
      <c r="C231" s="15" t="s">
        <v>353</v>
      </c>
    </row>
    <row r="232" ht="45.0" customHeight="1">
      <c r="A232" s="8">
        <v>231.0</v>
      </c>
      <c r="B232" s="8" t="s">
        <v>288</v>
      </c>
      <c r="C232" s="15" t="s">
        <v>353</v>
      </c>
    </row>
    <row r="233" ht="45.0" customHeight="1">
      <c r="A233" s="8">
        <v>232.0</v>
      </c>
      <c r="B233" s="8" t="s">
        <v>289</v>
      </c>
      <c r="C233" s="15" t="s">
        <v>353</v>
      </c>
    </row>
    <row r="234" ht="45.0" customHeight="1">
      <c r="A234" s="8">
        <v>233.0</v>
      </c>
      <c r="B234" s="8" t="s">
        <v>290</v>
      </c>
      <c r="C234" s="15" t="s">
        <v>353</v>
      </c>
    </row>
    <row r="235" ht="45.0" customHeight="1">
      <c r="A235" s="8">
        <v>234.0</v>
      </c>
      <c r="B235" s="8" t="s">
        <v>291</v>
      </c>
      <c r="C235" s="15" t="s">
        <v>353</v>
      </c>
    </row>
    <row r="236" ht="45.0" customHeight="1">
      <c r="A236" s="8">
        <v>235.0</v>
      </c>
      <c r="B236" s="8" t="s">
        <v>292</v>
      </c>
      <c r="C236" s="15" t="s">
        <v>353</v>
      </c>
    </row>
    <row r="237" ht="45.0" customHeight="1">
      <c r="A237" s="8">
        <v>236.0</v>
      </c>
      <c r="B237" s="8" t="s">
        <v>293</v>
      </c>
      <c r="C237" s="15" t="s">
        <v>353</v>
      </c>
    </row>
    <row r="238" ht="45.0" customHeight="1">
      <c r="A238" s="8">
        <v>237.0</v>
      </c>
      <c r="B238" s="8" t="s">
        <v>294</v>
      </c>
      <c r="C238" s="15" t="s">
        <v>353</v>
      </c>
    </row>
    <row r="239" ht="45.0" customHeight="1">
      <c r="A239" s="8">
        <v>238.0</v>
      </c>
      <c r="B239" s="8" t="s">
        <v>295</v>
      </c>
      <c r="C239" s="15" t="s">
        <v>353</v>
      </c>
    </row>
    <row r="240" ht="45.0" customHeight="1">
      <c r="A240" s="8">
        <v>239.0</v>
      </c>
      <c r="B240" s="8" t="s">
        <v>296</v>
      </c>
      <c r="C240" s="15" t="s">
        <v>353</v>
      </c>
    </row>
    <row r="241" ht="45.0" customHeight="1">
      <c r="A241" s="8">
        <v>240.0</v>
      </c>
      <c r="B241" s="8" t="s">
        <v>297</v>
      </c>
      <c r="C241" s="15" t="s">
        <v>353</v>
      </c>
    </row>
    <row r="242" ht="45.0" customHeight="1">
      <c r="A242" s="8">
        <v>241.0</v>
      </c>
      <c r="B242" s="8" t="s">
        <v>299</v>
      </c>
      <c r="C242" s="15" t="s">
        <v>353</v>
      </c>
    </row>
    <row r="243" ht="45.0" customHeight="1">
      <c r="A243" s="8">
        <v>242.0</v>
      </c>
      <c r="B243" s="8" t="s">
        <v>300</v>
      </c>
      <c r="C243" s="15" t="s">
        <v>353</v>
      </c>
    </row>
    <row r="244" ht="45.0" customHeight="1">
      <c r="A244" s="8">
        <v>243.0</v>
      </c>
      <c r="B244" s="8" t="s">
        <v>301</v>
      </c>
      <c r="C244" s="15" t="s">
        <v>353</v>
      </c>
    </row>
    <row r="245" ht="45.0" customHeight="1">
      <c r="A245" s="8">
        <v>244.0</v>
      </c>
      <c r="B245" s="8" t="s">
        <v>302</v>
      </c>
      <c r="C245" s="15" t="s">
        <v>353</v>
      </c>
    </row>
    <row r="246" ht="45.0" customHeight="1">
      <c r="A246" s="8">
        <v>245.0</v>
      </c>
      <c r="B246" s="8" t="s">
        <v>303</v>
      </c>
      <c r="C246" s="15" t="s">
        <v>353</v>
      </c>
    </row>
    <row r="247" ht="45.0" customHeight="1">
      <c r="A247" s="8">
        <v>246.0</v>
      </c>
      <c r="B247" s="8" t="s">
        <v>304</v>
      </c>
      <c r="C247" s="15" t="s">
        <v>353</v>
      </c>
    </row>
    <row r="248" ht="45.0" customHeight="1">
      <c r="A248" s="8">
        <v>247.0</v>
      </c>
      <c r="B248" s="8" t="s">
        <v>305</v>
      </c>
      <c r="C248" s="15" t="s">
        <v>353</v>
      </c>
    </row>
    <row r="249" ht="45.0" customHeight="1">
      <c r="A249" s="8">
        <v>248.0</v>
      </c>
      <c r="B249" s="8" t="s">
        <v>306</v>
      </c>
      <c r="C249" s="15" t="s">
        <v>353</v>
      </c>
    </row>
    <row r="250" ht="45.0" customHeight="1">
      <c r="A250" s="8">
        <v>249.0</v>
      </c>
      <c r="B250" s="8" t="s">
        <v>307</v>
      </c>
      <c r="C250" s="15" t="s">
        <v>353</v>
      </c>
    </row>
    <row r="251" ht="45.0" customHeight="1">
      <c r="A251" s="8">
        <v>250.0</v>
      </c>
      <c r="B251" s="8" t="s">
        <v>308</v>
      </c>
      <c r="C251" s="15" t="s">
        <v>353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2026-03-07T16:15:31Z</dcterms:created>
  <dc:creator>openpyxl</dc:creator>
</cp:coreProperties>
</file>